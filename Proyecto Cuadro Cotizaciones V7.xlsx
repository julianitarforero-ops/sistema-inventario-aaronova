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ocuments\"/>
    </mc:Choice>
  </mc:AlternateContent>
  <xr:revisionPtr revIDLastSave="0" documentId="8_{4020E843-38C2-42E2-A0A6-A343CFE61AEF}" xr6:coauthVersionLast="47" xr6:coauthVersionMax="47" xr10:uidLastSave="{00000000-0000-0000-0000-000000000000}"/>
  <bookViews>
    <workbookView xWindow="-120" yWindow="-120" windowWidth="20730" windowHeight="11160" firstSheet="19" activeTab="21" xr2:uid="{00000000-000D-0000-FFFF-FFFF00000000}"/>
  </bookViews>
  <sheets>
    <sheet name="Ficha Tecnica" sheetId="1" r:id="rId1"/>
    <sheet name="Argumentos" sheetId="2" r:id="rId2"/>
    <sheet name="Investigacion" sheetId="3" r:id="rId3"/>
    <sheet name="Torre admin" sheetId="4" r:id="rId4"/>
    <sheet name="Monitor Admin y nosotros" sheetId="5" r:id="rId5"/>
    <sheet name="DiscoSolido Admin" sheetId="6" r:id="rId6"/>
    <sheet name="Servidor Admin" sheetId="7" r:id="rId7"/>
    <sheet name="Disco duro interno Admin" sheetId="8" r:id="rId8"/>
    <sheet name="ram Admin" sheetId="9" r:id="rId9"/>
    <sheet name="Teclado Admin y nosotros" sheetId="10" r:id="rId10"/>
    <sheet name="Mouse Admin y nosotros" sheetId="11" r:id="rId11"/>
    <sheet name="Portatil Nosotros" sheetId="12" r:id="rId12"/>
    <sheet name=" Disco mecanico Nosotros" sheetId="13" r:id="rId13"/>
    <sheet name=" Servidor Nosotros" sheetId="14" r:id="rId14"/>
    <sheet name=" ram nosotros" sheetId="15" r:id="rId15"/>
    <sheet name="Tarjeta de video nosotros" sheetId="16" r:id="rId16"/>
    <sheet name="Procesador Nosotros" sheetId="17" r:id="rId17"/>
    <sheet name="software licencia" sheetId="18" r:id="rId18"/>
    <sheet name="licencia visual" sheetId="19" r:id="rId19"/>
    <sheet name="windows 11 licencia" sheetId="20" r:id="rId20"/>
    <sheet name="licencia SQL" sheetId="21" r:id="rId21"/>
    <sheet name="Servicios Nube" sheetId="22" r:id="rId2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22" l="1"/>
  <c r="I27" i="22" s="1"/>
  <c r="H26" i="22"/>
  <c r="I26" i="22" s="1"/>
  <c r="H25" i="22"/>
  <c r="I25" i="22" s="1"/>
  <c r="H21" i="22"/>
  <c r="I21" i="22" s="1"/>
  <c r="H20" i="22"/>
  <c r="I20" i="22" s="1"/>
  <c r="H19" i="22"/>
  <c r="I19" i="22" s="1"/>
  <c r="H15" i="22"/>
  <c r="I15" i="22" s="1"/>
  <c r="H14" i="22"/>
  <c r="I14" i="22" s="1"/>
  <c r="H13" i="22"/>
  <c r="I13" i="22" s="1"/>
  <c r="H9" i="22"/>
  <c r="I9" i="22" s="1"/>
  <c r="H8" i="22"/>
  <c r="I8" i="22" s="1"/>
  <c r="H7" i="22"/>
  <c r="I7" i="22" s="1"/>
  <c r="H10" i="21"/>
  <c r="I10" i="21" s="1"/>
  <c r="H9" i="21"/>
  <c r="I9" i="21" s="1"/>
  <c r="H8" i="21"/>
  <c r="I8" i="21" s="1"/>
  <c r="H10" i="20"/>
  <c r="I10" i="20" s="1"/>
  <c r="H9" i="20"/>
  <c r="I9" i="20" s="1"/>
  <c r="H8" i="20"/>
  <c r="I8" i="20" s="1"/>
  <c r="H10" i="19"/>
  <c r="I10" i="19" s="1"/>
  <c r="H9" i="19"/>
  <c r="I9" i="19" s="1"/>
  <c r="H8" i="19"/>
  <c r="I8" i="19" s="1"/>
  <c r="G11" i="18"/>
  <c r="H10" i="18"/>
  <c r="I10" i="18" s="1"/>
  <c r="H9" i="18"/>
  <c r="I9" i="18" s="1"/>
  <c r="H8" i="18"/>
  <c r="I8" i="18" s="1"/>
  <c r="H10" i="17"/>
  <c r="I10" i="17" s="1"/>
  <c r="H9" i="17"/>
  <c r="I9" i="17" s="1"/>
  <c r="H8" i="17"/>
  <c r="I8" i="17" s="1"/>
  <c r="H10" i="16"/>
  <c r="I10" i="16" s="1"/>
  <c r="H9" i="16"/>
  <c r="I9" i="16" s="1"/>
  <c r="H8" i="16"/>
  <c r="I8" i="16" s="1"/>
  <c r="H10" i="15"/>
  <c r="I10" i="15" s="1"/>
  <c r="H9" i="15"/>
  <c r="I9" i="15" s="1"/>
  <c r="H8" i="15"/>
  <c r="I8" i="15" s="1"/>
  <c r="H10" i="14"/>
  <c r="I10" i="14" s="1"/>
  <c r="H9" i="14"/>
  <c r="I9" i="14" s="1"/>
  <c r="H8" i="14"/>
  <c r="I8" i="14" s="1"/>
  <c r="H10" i="13"/>
  <c r="I10" i="13" s="1"/>
  <c r="H9" i="13"/>
  <c r="I9" i="13" s="1"/>
  <c r="H8" i="13"/>
  <c r="I8" i="13" s="1"/>
  <c r="H10" i="12"/>
  <c r="I10" i="12" s="1"/>
  <c r="H9" i="12"/>
  <c r="I9" i="12" s="1"/>
  <c r="H8" i="12"/>
  <c r="I8" i="12" s="1"/>
  <c r="H10" i="11"/>
  <c r="I10" i="11" s="1"/>
  <c r="H9" i="11"/>
  <c r="I9" i="11" s="1"/>
  <c r="H8" i="11"/>
  <c r="I8" i="11" s="1"/>
  <c r="H10" i="10"/>
  <c r="I10" i="10" s="1"/>
  <c r="H9" i="10"/>
  <c r="I9" i="10" s="1"/>
  <c r="H8" i="10"/>
  <c r="I8" i="10" s="1"/>
  <c r="H10" i="9"/>
  <c r="I10" i="9" s="1"/>
  <c r="H9" i="9"/>
  <c r="I9" i="9" s="1"/>
  <c r="H8" i="9"/>
  <c r="I8" i="9" s="1"/>
  <c r="H10" i="8"/>
  <c r="I10" i="8" s="1"/>
  <c r="H9" i="8"/>
  <c r="I9" i="8" s="1"/>
  <c r="H8" i="8"/>
  <c r="I8" i="8" s="1"/>
  <c r="H10" i="7"/>
  <c r="I10" i="7" s="1"/>
  <c r="H9" i="7"/>
  <c r="I9" i="7" s="1"/>
  <c r="H8" i="7"/>
  <c r="I8" i="7" s="1"/>
  <c r="H10" i="6"/>
  <c r="I10" i="6" s="1"/>
  <c r="H9" i="6"/>
  <c r="I9" i="6" s="1"/>
  <c r="H8" i="6"/>
  <c r="I8" i="6" s="1"/>
  <c r="H10" i="5"/>
  <c r="I10" i="5" s="1"/>
  <c r="H9" i="5"/>
  <c r="I9" i="5" s="1"/>
  <c r="H8" i="5"/>
  <c r="I8" i="5" s="1"/>
  <c r="H10" i="4"/>
  <c r="I10" i="4" s="1"/>
  <c r="H9" i="4"/>
  <c r="I9" i="4" s="1"/>
  <c r="H8" i="4"/>
  <c r="I8" i="4" s="1"/>
</calcChain>
</file>

<file path=xl/sharedStrings.xml><?xml version="1.0" encoding="utf-8"?>
<sst xmlns="http://schemas.openxmlformats.org/spreadsheetml/2006/main" count="978" uniqueCount="413">
  <si>
    <t>Ficha Tecnica</t>
  </si>
  <si>
    <t>Nombre del proyecto</t>
  </si>
  <si>
    <t>Cuadro Comparativo de Cotizaciones de Equipos Tecnológicos</t>
  </si>
  <si>
    <t>Área solicitante</t>
  </si>
  <si>
    <t>Área Administrativa y Operativa</t>
  </si>
  <si>
    <t>Tipo de adquisición</t>
  </si>
  <si>
    <t>Equipos y componentes tecnológicos</t>
  </si>
  <si>
    <t>Fecha de elaboración</t>
  </si>
  <si>
    <t>Ciudad</t>
  </si>
  <si>
    <t>Ciudad Bogotá D.C., Colombia</t>
  </si>
  <si>
    <t>Objetivo</t>
  </si>
  <si>
    <t>Identificar y comparar equipos, software y servicios tecnológicos que cubran las necesidades de Aaronova con un enfoque de accesibilidad económica, rendimiento suficiente y relación costo-beneficio.</t>
  </si>
  <si>
    <t>Equipos requeridos</t>
  </si>
  <si>
    <t>Torre Ryzen 5 5600G, monitor 21,45" Full HD, SSD 480 GB, servidor de entrada/reacondicionado, HDD 1 TB, RAM DDR4, periféricos económicos, portátil Ryzen 3/Ryzen 5 y software gratuito cuando sea viable.</t>
  </si>
  <si>
    <t>Uso principal</t>
  </si>
  <si>
    <t>Operación administrativa, desarrollo del sistema de inventario, almacenamiento, gestión de información, copias de seguridad, multitarea y servicios básicos en la nube.</t>
  </si>
  <si>
    <t>Criterios de selección</t>
  </si>
  <si>
    <t>Precio publicado, rendimiento, capacidad, compatibilidad, garantía, disponibilidad, tiempo de entrega, forma de pago y costo de licenciamiento.</t>
  </si>
  <si>
    <t>Presupuesto</t>
  </si>
  <si>
    <t>Priorizar alternativas de entrada y gratuitas que reduzcan la inversión inicial sin afectar las funciones esenciales del sistema.</t>
  </si>
  <si>
    <t>Garantía mínima esperada</t>
  </si>
  <si>
    <t>Preferiblemente 6 meses o superior; en productos reacondicionados se debe verificar el estado y la garantía antes de la compra.</t>
  </si>
  <si>
    <t>Fuentes consultadas</t>
  </si>
  <si>
    <t>Mercado Libre, Falabella, Ktronix, Olímpica, Homecenter, Compulago, Logitech, Microsoft, Canonical, PostgreSQL y proveedores oficiales de servicios cloud.</t>
  </si>
  <si>
    <t>Resultado esperado</t>
  </si>
  <si>
    <t>Seleccionar las alternativas con menor costo total que mantengan el rendimiento, capacidad y confiabilidad necesarios para la etapa actual de Aaronova.</t>
  </si>
  <si>
    <t>Opción seleccionada</t>
  </si>
  <si>
    <t>¿Por qué es la mejor opción para Aaronova?</t>
  </si>
  <si>
    <t>Torre Ryzen 5 5600G + 16 GB + SSD 512 GB</t>
  </si>
  <si>
    <t>Es la opción recomendada porque cuesta $1.900.900 y ofrece 6 núcleos y 12 hilos, 16 GB de RAM y SSD de 512 GB. Los gráficos integrados evitan comprar una tarjeta de video adicional, por lo que el rendimiento es suficiente para inventario, programación, documentos y multitarea.</t>
  </si>
  <si>
    <t>Monitor Xiaomi A22i 21,45" Full HD</t>
  </si>
  <si>
    <t>Se recomienda porque cuesta $239.900 y cumple la necesidad principal de visualizar claramente el sistema y documentos. Full HD es suficiente para un puesto administrativo y evita pagar por características gamer.</t>
  </si>
  <si>
    <t>ADATA SU650 480 GB</t>
  </si>
  <si>
    <t>Se elige porque cuesta $277.517 y ofrece 480 GB de almacenamiento SSD. Permite arrancar y abrir programas rápidamente y mantiene un buen equilibrio entre capacidad y precio.</t>
  </si>
  <si>
    <t>Lenovo ThinkServer TS440 reacondicionado</t>
  </si>
  <si>
    <t>Se recomienda para la etapa inicial porque cuesta $950.000, incluye Xeon, 16 GB de RAM y 1,2 TB en discos SAS. Es mucho más económico que un servidor empresarial nuevo; se debe revisar estado y garantía.</t>
  </si>
  <si>
    <t>Toshiba 1 TB SATA</t>
  </si>
  <si>
    <t>Se selecciona por su precio de $110.000 y capacidad de 1 TB. Es ideal para copias de seguridad y archivos que no requieren la velocidad de un SSD.</t>
  </si>
  <si>
    <t>Hiksemi DDR4 8 GB 3200 MHz</t>
  </si>
  <si>
    <t>Se elige por su precio de $140.000. Los 8 GB a 3200 MHz cubren tareas administrativas básicas y permiten ampliar la memoria cuando aumente la carga.</t>
  </si>
  <si>
    <t>Genius KM-170 USB</t>
  </si>
  <si>
    <t>Es la alternativa más económica, con $45.980 por teclado y mouse. El mouse óptico de 1000 dpi es suficiente para registrar productos, escribir y navegar.</t>
  </si>
  <si>
    <t>Logitech M90</t>
  </si>
  <si>
    <t>Se recomienda porque cuesta $20.273 y ofrece sensor óptico de 1000 dpi por USB. Es una referencia de alta rotación y cumple las necesidades diarias sin gasto innecesario.</t>
  </si>
  <si>
    <t>HP 245 G10 Ryzen 3 8 GB 512 GB SSD</t>
  </si>
  <si>
    <t>Se selecciona porque cuesta $1.419.900 y combina 8 GB de RAM con SSD de 512 GB. Es suficiente para ofimática, navegación, programación básica y gestión del proyecto.</t>
  </si>
  <si>
    <t>Se mantiene como opción económica de almacenamiento secundario porque cuesta $110.000 y ofrece 1 TB para respaldos y archivos grandes.</t>
  </si>
  <si>
    <t>Se recomienda por su precio de $950.000 y sus 16 GB de RAM con 1,2 TB SAS. Reduce la inversión inicial, siempre verificando la condición del equipo.</t>
  </si>
  <si>
    <t>GT 1030 2 GB GDDR5</t>
  </si>
  <si>
    <t>Se recomienda porque cuesta aproximadamente $315.317 y cubre tareas gráficas ligeras. Si se usa Ryzen 5 5600G, se puede prescindir de esta tarjeta y ahorrar aún más.</t>
  </si>
  <si>
    <t>AMD Ryzen 5 5500</t>
  </si>
  <si>
    <t>Se elige porque cuesta alrededor de $400.000 y cuenta con 6 núcleos y 12 hilos. Ofrece buen rendimiento para programación y multitarea sin pagar por un procesador de gama alta.</t>
  </si>
  <si>
    <t>Windows 11 Home</t>
  </si>
  <si>
    <t>Es la opción de Windows más accesible si se necesita una licencia nueva: Microsoft Store Colombia publica $769.999. Si el equipo incluye licencia OEM, se debe registrar costo adicional $0.</t>
  </si>
  <si>
    <t>Visual Studio Community</t>
  </si>
  <si>
    <t>Tiene costo $0 y ofrece un IDE completo para desarrollar, depurar y probar aplicaciones. Su uso está sujeto a los términos de licencia de Community, pero puede evitar la licencia Professional en un proyecto pequeño.</t>
  </si>
  <si>
    <t>SQL Server 2025 Express</t>
  </si>
  <si>
    <t>Tiene costo $0 y Microsoft la define como una edición gratuita para aplicaciones de escritorio, web y servidores pequeños. Es más proporcional que pagar SQL Server Standard para la etapa inicial.</t>
  </si>
  <si>
    <t>AWS Free Tier</t>
  </si>
  <si>
    <t>Permite comenzar con costo inicial $0 dentro de los límites del nivel gratuito. Los nuevos clientes pueden recibir hasta US$200 en créditos y usar el plan gratuito hasta 6 meses, evitando comprar un servidor físico desde el inicio.</t>
  </si>
  <si>
    <t>Render Free</t>
  </si>
  <si>
    <t>Tiene costo $0 para prototipos y proyectos pequeños. Permite desplegar servicios web y bases de datos con límites definidos, por lo que es apropiado para validar el sistema antes de pagar por infraestructura.</t>
  </si>
  <si>
    <t>Keycloak</t>
  </si>
  <si>
    <t>Tiene costo de licencia $0 y es open source para gestión de identidad y acceso. Permite centralizar autenticación y Single Sign-On, aportando seguridad sin contratar inicialmente una plataforma empresarial costosa.</t>
  </si>
  <si>
    <t>Investigacion</t>
  </si>
  <si>
    <t>Aspecto</t>
  </si>
  <si>
    <t>Información</t>
  </si>
  <si>
    <t>Comparar alternativas tecnológicas de menor costo que mantengan un nivel adecuado de rendimiento, calidad y capacidad para las necesidades reales de Aaronova.</t>
  </si>
  <si>
    <t>Necesidad</t>
  </si>
  <si>
    <t>Contar con equipos, software y servicios que permitan operar el sistema de inventario y las actividades administrativas sin comprometer el presupuesto del proyecto.</t>
  </si>
  <si>
    <t>Metodología</t>
  </si>
  <si>
    <t>Se revisaron opciones comerciales y alternativas gratuitas, priorizando precio publicado, rendimiento, capacidad, garantía, disponibilidad y relación costo-beneficio.</t>
  </si>
  <si>
    <t>Mercado Libre, Falabella, Ktronix, Olímpica, Homecenter, Compulago, Logitech, Microsoft, Canonical, PostgreSQL, AWS, Google Cloud, Oracle Cloud, Firebase, Render y Keycloak.</t>
  </si>
  <si>
    <t>Criterios</t>
  </si>
  <si>
    <t>Precio, rendimiento, capacidad, compatibilidad, garantía, disponibilidad y costo de licenciamiento.</t>
  </si>
  <si>
    <t>Fecha de consulta</t>
  </si>
  <si>
    <t>Resultado</t>
  </si>
  <si>
    <t>Se priorizaron alternativas de entrada y gratuitas para reducir el costo total, evitando pagar por características de gama alta que no son indispensables en la etapa inicial.</t>
  </si>
  <si>
    <t>Ítem</t>
  </si>
  <si>
    <t>Equipo / servicio</t>
  </si>
  <si>
    <t>Alternativa recomendada</t>
  </si>
  <si>
    <t>Empresa</t>
  </si>
  <si>
    <t>Argumento de selección</t>
  </si>
  <si>
    <t>Criterio principal</t>
  </si>
  <si>
    <t>Torre</t>
  </si>
  <si>
    <t>Mercado Libre</t>
  </si>
  <si>
    <t>Precio $1.900.900. El Ryzen 5 5600G ofrece 6 núcleos y 12 hilos y gráficos integrados, mientras 16 GB de RAM y SSD 512 GB permiten trabajar con el sistema, navegador, documentos y herramientas de desarrollo sin una GPU dedicada.</t>
  </si>
  <si>
    <t>Precio y rendimiento</t>
  </si>
  <si>
    <t>Rendimiento</t>
  </si>
  <si>
    <t>Monitor</t>
  </si>
  <si>
    <t>Precio $239.900. La resolución Full HD y el tamaño de 21,45 pulgadas son suficientes para visualizar el inventario y documentos; no se justifica pagar por un monitor gamer para este uso.</t>
  </si>
  <si>
    <t>Precio y funcionalidad</t>
  </si>
  <si>
    <t>Calidad de imagen</t>
  </si>
  <si>
    <t>SSD</t>
  </si>
  <si>
    <t>ADATA SU650 480 GB SATA III</t>
  </si>
  <si>
    <t>Precio $277.517. Los 480 GB ofrecen espacio suficiente para sistema, programas y archivos, mientras la tecnología SSD mejora el arranque y la carga de aplicaciones frente a un HDD.</t>
  </si>
  <si>
    <t>Capacidad y velocidad</t>
  </si>
  <si>
    <t>Velocidad y capacidad</t>
  </si>
  <si>
    <t>Servidor</t>
  </si>
  <si>
    <t>Precio $950.000. Incluye Xeon, 16 GB de RAM y 1,2 TB en discos SAS. Es la alternativa más económica para una etapa inicial; al ser reacondicionado se debe revisar estado y garantía antes de comprar.</t>
  </si>
  <si>
    <t>Precio y capacidad</t>
  </si>
  <si>
    <t>Capacidad</t>
  </si>
  <si>
    <t>Disco duro interno</t>
  </si>
  <si>
    <t>Precio $110.000. Un HDD de 1 TB es suficiente para archivos y copias de seguridad y permite reservar el SSD para el sistema y programas que necesitan mayor velocidad.</t>
  </si>
  <si>
    <t>RAM</t>
  </si>
  <si>
    <t>Compulago</t>
  </si>
  <si>
    <t>Precio $140.000. Los 8 GB a 3200 MHz cubren tareas administrativas básicas; si el equipo requiere mayor multitarea, se puede ampliar posteriormente.</t>
  </si>
  <si>
    <t>Precio</t>
  </si>
  <si>
    <t>Teclado y mouse</t>
  </si>
  <si>
    <t>Precio $45.980. Incluye ambos periféricos, teclado de membrana y mouse óptico de 1000 dpi. Cumple las funciones de digitación y navegación sin pagar por características gamer.</t>
  </si>
  <si>
    <t>Costo-beneficio</t>
  </si>
  <si>
    <t>Mouse</t>
  </si>
  <si>
    <t>Precio $20.273. Tiene sensor óptico de 1000 dpi, conexión USB y una valoración de 4,9/5 con miles de calificaciones, por lo que combina bajo precio con una referencia conocida.</t>
  </si>
  <si>
    <t>Precio y confiabilidad</t>
  </si>
  <si>
    <t>Ergonomía y compatibilidad</t>
  </si>
  <si>
    <t>Portátil</t>
  </si>
  <si>
    <t>Falabella</t>
  </si>
  <si>
    <t>Precio $1.419.900. Ofrece 8 GB RAM y SSD 512 GB, suficientes para ofimática, navegación, programación básica y administración del proyecto.</t>
  </si>
  <si>
    <t>Capacidad y precio</t>
  </si>
  <si>
    <t>Disco mecánico</t>
  </si>
  <si>
    <t>Precio $110.000. Permite almacenar copias de seguridad y archivos de gran tamaño a un costo muy inferior al de un SSD, donde la velocidad no es prioritaria.</t>
  </si>
  <si>
    <t>Rendimiento y confiabilidad</t>
  </si>
  <si>
    <t>Precio $950.000. La capacidad de 16 GB RAM y 1,2 TB SAS es suficiente para una implementación inicial o de prueba, con la ventaja de reducir notablemente la inversión inicial.</t>
  </si>
  <si>
    <t>Tarjeta de video</t>
  </si>
  <si>
    <t>Precio $315.317. Para las necesidades actuales no se requiere una GPU de gama media; esta opción sirve para salida de video y tareas gráficas ligeras. Si se usa Ryzen 5 5600G, incluso puede omitirse.</t>
  </si>
  <si>
    <t>Precio y necesidad real</t>
  </si>
  <si>
    <t>Procesador</t>
  </si>
  <si>
    <t>Mips Colombia</t>
  </si>
  <si>
    <t>Precio $400.000. Sus 6 núcleos y 12 hilos ofrecen capacidad suficiente para programación y multitarea, reduciendo el gasto frente a un Ryzen 7 de gama superior.</t>
  </si>
  <si>
    <t>Integración</t>
  </si>
  <si>
    <t>Software de oficina</t>
  </si>
  <si>
    <t>LibreOffice</t>
  </si>
  <si>
    <t>The Document Foundation</t>
  </si>
  <si>
    <t>Costo $0. Incluye Writer, Calc, Impress y Base y es de código abierto, por lo que permite eliminar el gasto de una suite ofimática comercial en la etapa inicial.</t>
  </si>
  <si>
    <t>Costo de licencia</t>
  </si>
  <si>
    <t>Desarrollo</t>
  </si>
  <si>
    <t>Visual Studio</t>
  </si>
  <si>
    <t>Microsoft</t>
  </si>
  <si>
    <t>Costo $0. Es un IDE completo y gratuito para desarrolladores individuales y organizaciones no empresariales que cumplan los términos de licencia. Permite programar, depurar y probar el sistema.</t>
  </si>
  <si>
    <t>Costo y funcionalidad</t>
  </si>
  <si>
    <t>Confiabilidad</t>
  </si>
  <si>
    <t>Windows</t>
  </si>
  <si>
    <t>Microsoft Store Colombia</t>
  </si>
  <si>
    <t>Precio oficial $769.999. Es la opción de Windows más económica para una licencia nueva. Si el computador ya incluye una licencia OEM, el costo adicional puede ser $0.</t>
  </si>
  <si>
    <t>Escalabilidad y costo</t>
  </si>
  <si>
    <t>SQL Server</t>
  </si>
  <si>
    <t>Costo $0. Microsoft lo presenta como una edición gratuita adecuada para desarrollo, producción de aplicaciones de escritorio/web y servidores pequeños; es más apropiada para una etapa inicial que SQL Server Standard.</t>
  </si>
  <si>
    <t>Costo y tamaño de la solución</t>
  </si>
  <si>
    <t>Automatización</t>
  </si>
  <si>
    <t>IaaS</t>
  </si>
  <si>
    <t>AWS</t>
  </si>
  <si>
    <t>Costo inicial $0 para nuevos clientes dentro de los límites del plan gratuito: hasta US$200 en créditos y hasta 6 meses. Permite probar infraestructura sin comprar un servidor físico desde el comienzo.</t>
  </si>
  <si>
    <t>Costo y escalabilidad</t>
  </si>
  <si>
    <t>Seguridad</t>
  </si>
  <si>
    <t>CUADRO DE COTIZACIONES</t>
  </si>
  <si>
    <t xml:space="preserve">Cuadro Comparativo de Cotizaciones </t>
  </si>
  <si>
    <t xml:space="preserve">Presupuestos (a)
</t>
  </si>
  <si>
    <t>Empresa
(Nombre fiscal de la empresa)</t>
  </si>
  <si>
    <t>Imagen de referencia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</si>
  <si>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</si>
  <si>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</si>
  <si>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</si>
  <si>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</si>
  <si>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</si>
  <si>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Tipo de cambio</t>
  </si>
  <si>
    <t>Forma de Pago 
(Contado o Cheque)</t>
  </si>
  <si>
    <t>Observaciones 
(se debe incluir toda aquella característica que no ha sido posible incluir anteriormente)</t>
  </si>
  <si>
    <t>Garantía</t>
  </si>
  <si>
    <t>N.º 1</t>
  </si>
  <si>
    <t>https://www.mercadolibre.com.co/torre-gamer-rgb-amd-ryzen-5-5600g--16gb--ssd-m2-512gb-pd/up/MCOU3111471418</t>
  </si>
  <si>
    <t>AMD Ryzen 5 5600G, 6 núcleos/12 hilos, gráficos Radeon integrados, 16 GB RAM y SSD M.2 de 512 GB. Adecuada para sistema de inventario, ofimática, navegación y desarrollo sin tarjeta gráfica dedicada.</t>
  </si>
  <si>
    <t>CONTADO / TRANSFERENCIA</t>
  </si>
  <si>
    <t>Precio publicado $1.900.900. La publicación registra 4,8/5 y más de 5 ventas; 16 GB y SSD 512 GB permiten multitarea sin invertir en GPU dedicada. Precio consultado el 13/09/2026; sujeto a cambio y disponibilidad.</t>
  </si>
  <si>
    <t>36 meses</t>
  </si>
  <si>
    <t>N.º 2</t>
  </si>
  <si>
    <t>https://www.falabella.com.co/</t>
  </si>
  <si>
    <t>PC de escritorio con Ryzen 5 5600G, 16 GB DDR4 y SSD M.2 de 1 TB. Los gráficos integrados reducen el costo al no requerir tarjeta gráfica para tareas administrativas y desarrollo.</t>
  </si>
  <si>
    <t>Precio de referencia encontrado en Falabella: $1.810.000. Ofrece más almacenamiento que la alternativa de 512 GB y mantiene 16 GB de RAM. Precio consultado el 13/09/2026; sujeto a cambio y disponibilidad.</t>
  </si>
  <si>
    <t>1 año</t>
  </si>
  <si>
    <t>N.º 3</t>
  </si>
  <si>
    <t>Mercado Libre – alternativa</t>
  </si>
  <si>
    <t>https://www.mercadolibre.com.co/torre-cpu-gamer-ryzen-5-5600g-ssd-512gb-vega-7-hdmi-16gb-pc/up/MCOU2875345122</t>
  </si>
  <si>
    <t>Ryzen 5 5600G con 16 GB RAM, SSD 512 GB y gráficos Radeon Vega 7 integrados. Buen equilibrio para aplicaciones de negocio, programación y multitarea.</t>
  </si>
  <si>
    <t>Precio publicado $1.997.910. Se prioriza porque evita el gasto de una GPU dedicada y mantiene 16 GB de RAM. Precio consultado el 13/09/2026; sujeto a cambio y disponibilidad.</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</si>
  <si>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</si>
  <si>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</si>
  <si>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Imagen</t>
  </si>
  <si>
    <t>https://www.mercadolibre.com.co/</t>
  </si>
  <si>
    <t>Pantalla de 21,45 pulgadas con resolución Full HD. Tamaño suficiente para visualizar inventario, documentos y navegador en un puesto administrativo.</t>
  </si>
  <si>
    <t>Precio publicado $239.900. Es la opción de menor costo entre las alternativas investigadas y cubre la necesidad básica de visualización. Precio consultado el 13/09/2026; sujeto a cambio y disponibilidad.</t>
  </si>
  <si>
    <t>12 meses</t>
  </si>
  <si>
    <t>Ktronix</t>
  </si>
  <si>
    <t>https://www.ktronix.com/</t>
  </si>
  <si>
    <t>Monitor Samsung de 22 pulgadas con resolución Full HD, pensado para trabajo de oficina y uso cotidiano.</t>
  </si>
  <si>
    <t>Precio de referencia $299.930. Samsung aporta una marca reconocida y tamaño de 22 pulgadas sin subir al segmento gamer. Precio consultado el 13/09/2026; sujeto a cambio y disponibilidad.</t>
  </si>
  <si>
    <t>Según proveedor</t>
  </si>
  <si>
    <t>Olímpica</t>
  </si>
  <si>
    <t>https://www.olimpica.com/</t>
  </si>
  <si>
    <t>Monitor AOC de 22 pulgadas Full HD y 100 Hz. La mayor frecuencia de actualización mejora la fluidez visual, aunque no es indispensable para el sistema.</t>
  </si>
  <si>
    <t>Precio de referencia $310.691. Se justifica por 100 Hz y buena relación entre calidad de imagen y precio. Precio consultado el 13/09/2026; sujeto a cambio y disponibilidad.</t>
  </si>
  <si>
    <t>Imagenes</t>
  </si>
  <si>
    <t>SSD SATA III de 480 GB con tecnología 3D NAND. Permite arranques y carga de aplicaciones más rápidos que un HDD.</t>
  </si>
  <si>
    <t>Precio publicado $277.517. Es la opción recomendada porque ofrece 480 GB a menor costo que otros SSD de marca consultados. Precio consultado el 13/09/2026; sujeto a cambio y disponibilidad.</t>
  </si>
  <si>
    <t>https://www.mercadolibre.com.co/disco-estado-solido-ssd-kingston-25-a400-480gb-color-negro/p/MCO17978326</t>
  </si>
  <si>
    <t>SSD 2,5 pulgadas SATA III de 480 GB con 3D NAND. Adecuado para sistema operativo, programas y archivos de trabajo.</t>
  </si>
  <si>
    <t>Precio publicado $329.107 y calificación 4,9/5. Ofrece 480 GB y una referencia ampliamente comercializada. Precio consultado el 13/09/2026; sujeto a cambio y disponibilidad.</t>
  </si>
  <si>
    <t>https://www.mercadolibre.com.co/disco-solido-ssd-sata-interno-480gb-western-digital-wd-green-wds480g2g0a-545mbs/p/MCO12451965</t>
  </si>
  <si>
    <t>SSD SATA III de 480 GB con lectura de hasta 545 MB/s, pensado para tareas informáticas cotidianas.</t>
  </si>
  <si>
    <t>Precio publicado $320.000. La velocidad de lectura de hasta 545 MB/s favorece la apertura rápida de aplicaciones. Precio consultado el 13/09/2026; sujeto a cambio y disponibilidad.</t>
  </si>
  <si>
    <t>https://www.mercadolibre.com.co/servidor-lenovo-thinkserver-ts440-xeon-ram-16gb-600gbx2-sas/up/MCOU3051483357</t>
  </si>
  <si>
    <t>Servidor reacondicionado con Intel Xeon E3-1226 V3, 16 GB RAM y 2 discos SAS de 600 GB (1,2 TB). Incluye Windows Server Standard según publicación.</t>
  </si>
  <si>
    <t>Precio publicado $950.000. Es la alternativa más económica y suficiente para una etapa inicial si se acepta hardware reacondicionado. Verificar estado y garantía antes de comprar. Precio consultado el 13/09/2026; sujeto a cambio y disponibilidad.</t>
  </si>
  <si>
    <t>12 meses vendedor</t>
  </si>
  <si>
    <t>Distrisant Colombia</t>
  </si>
  <si>
    <t>https://www.distrisantcolombia.com/</t>
  </si>
  <si>
    <t>Servidor torre con Intel Xeon E-2224, 16 GB DDR4 ECC y HDD Enterprise de 1 TB. Soporta hasta tres discos LFF.</t>
  </si>
  <si>
    <t>Precio de referencia $2.737.000 con IVA. La memoria ECC y diseño de servidor ofrecen mayor estabilidad que un PC convencional. Precio consultado el 13/09/2026; sujeto a cambio y disponibilidad.</t>
  </si>
  <si>
    <t>6 meses</t>
  </si>
  <si>
    <t>T-Mente</t>
  </si>
  <si>
    <t>Servidor torre de entrada con procesador Intel Xeon E-2224G, orientado a pequeñas empresas y servicios internos.</t>
  </si>
  <si>
    <t>Precio de referencia $3.404.348. Es más costoso que el reacondicionado, pero ofrece una plataforma de servidor de marca para mayor confiabilidad. Precio consultado el 13/09/2026; sujeto a cambio y disponibilidad.</t>
  </si>
  <si>
    <t>HDD SATA de 1 TB para almacenamiento de documentos, imágenes y copias de seguridad.</t>
  </si>
  <si>
    <t>Precio de referencia $110.000. Es suficiente para almacenamiento secundario y resulta mucho más económico que un SSD de igual capacidad. Precio consultado el 13/09/2026; sujeto a cambio y disponibilidad.</t>
  </si>
  <si>
    <t>HDD Western Digital de 1 TB para almacenamiento de archivos y respaldos.</t>
  </si>
  <si>
    <t>Precio de referencia $175.000. Buena alternativa por marca y capacidad sin pagar por velocidad SSD. Precio consultado el 13/09/2026; sujeto a cambio y disponibilidad.</t>
  </si>
  <si>
    <t>Cámaras de Seguridad Colombia</t>
  </si>
  <si>
    <t>https://www.camarasdeseguridad.com.co/</t>
  </si>
  <si>
    <t>HDD Seagate de 1 TB con interfaz SATA y 64 MB de caché.</t>
  </si>
  <si>
    <t>Precio de referencia $299.900. Ofrece una marca reconocida y capacidad suficiente para copias de seguridad. Precio consultado el 13/09/2026; sujeto a cambio y disponibilidad.</t>
  </si>
  <si>
    <t>https://compulago.com/</t>
  </si>
  <si>
    <t>Memoria DDR4 de 8 GB a 3200 MHz para computadores compatibles. Capacidad suficiente para tareas administrativas y navegación.</t>
  </si>
  <si>
    <t>Precio de referencia $140.000. Es la opción más económica y permite controlar el presupuesto. Precio consultado el 13/09/2026; sujeto a cambio y disponibilidad.</t>
  </si>
  <si>
    <t>https://www.mercadolibre.com.co/memoria-ram-8gb-3200mhz-ddr4-crucial/p/MCO17451543</t>
  </si>
  <si>
    <t>Memoria DDR4 de 8 GB a 3200 MHz, formato de escritorio. Adecuada para multitarea básica.</t>
  </si>
  <si>
    <t>Precio publicado $190.000 y calificación 4,9/5. Ofrece una marca reconocida con buen costo-beneficio. Precio consultado el 13/09/2026; sujeto a cambio y disponibilidad.</t>
  </si>
  <si>
    <t>Memoria DDR4 de 8 GB a 3200 MHz para ampliar la capacidad del equipo.</t>
  </si>
  <si>
    <t>Precio de referencia $289.000. Se elige como alternativa de marca reconocida, aunque es más costosa que Hiksemi y Crucial. Precio consultado el 13/09/2026; sujeto a cambio y disponibilidad.</t>
  </si>
  <si>
    <t>https://www.mercadolibre.com.co/combo-teclado-%C3%BE-mouse</t>
  </si>
  <si>
    <t>Combo de teclado y mouse USB con teclado de membrana y mouse óptico de 1000 dpi. Funciona con Windows 10/11.</t>
  </si>
  <si>
    <t>Precio publicado $45.980. Es la opción de menor costo y cumple con las tareas de digitación y navegación. Precio consultado el 13/09/2026; sujeto a cambio y disponibilidad.</t>
  </si>
  <si>
    <t>Logitech Store Colombia</t>
  </si>
  <si>
    <t>https://www.logitechstore.com.co/products/mco-2860601308-combo-teclado-y-mouse-usb-plug-and-play-logitech-mk120-jm</t>
  </si>
  <si>
    <t>Combo USB con teclado de tamaño normal, teclado numérico y mouse óptico. Incluye distribución en español y garantía oficial indicada por Logitech.</t>
  </si>
  <si>
    <t>Precio oficial $77.900. Incluye teclado y mouse, conexión plug-and-play y 3 años de garantía indicada por Logitech. Precio consultado el 13/09/2026; sujeto a cambio y disponibilidad.</t>
  </si>
  <si>
    <t>3 años</t>
  </si>
  <si>
    <t>Mercado Libre – tienda HP</t>
  </si>
  <si>
    <t>https://www.mercadolibre.com.co/teclado-y-mouse-inalambrico-hp-330-2v9e6aa/p/MCO19638558</t>
  </si>
  <si>
    <t>Combo inalámbrico de teclado y mouse, distribución español latinoamericano y sensor óptico.</t>
  </si>
  <si>
    <t>Precio publicado $85.167. Es una alternativa económica si se prefiere eliminar cables sin pasar a periféricos costosos. Precio consultado el 13/09/2026; sujeto a cambio y disponibilidad.</t>
  </si>
  <si>
    <t>Calle 12 # 34 - 30, Bogotá D.C.</t>
  </si>
  <si>
    <t>https://www.mercadolibre.com.co/mouse-logitech-m90-negrogris/p/MCO6162297</t>
  </si>
  <si>
    <t>Mouse USB con sensor óptico y 1000 dpi, diseño sencillo para trabajo administrativo.</t>
  </si>
  <si>
    <t>Precio publicado $20.273. Tiene 4,9/5 y más de 19.000 calificaciones, por lo que ofrece buena relación entre costo y confiabilidad. Precio consultado el 13/09/2026; sujeto a cambio y disponibilidad.</t>
  </si>
  <si>
    <t>Logitech</t>
  </si>
  <si>
    <t>https://www.logitechstore.com.co/</t>
  </si>
  <si>
    <t>Mouse USB óptico de 1000 dpi, pensado para uso diario y oficinas.</t>
  </si>
  <si>
    <t>Precio de referencia $27.900. Se prioriza por respaldo de marca y funcionamiento sencillo. Precio consultado el 13/09/2026; sujeto a cambio y disponibilidad.</t>
  </si>
  <si>
    <t>Mouse USB óptico básico para tareas de oficina, navegación y sistema de inventario.</t>
  </si>
  <si>
    <t>Precio de referencia $41.933. Cumple la función requerida, aunque es menos económico que el Logitech M90. Precio consultado el 13/09/2026; sujeto a cambio y disponibilidad.</t>
  </si>
  <si>
    <t xml:space="preserve">CONTADO </t>
  </si>
  <si>
    <t>Portátil de entrada con AMD Ryzen 3, 8 GB RAM y SSD de 512 GB. Adecuado para programación básica, ofimática, navegación y gestión del sistema.</t>
  </si>
  <si>
    <t>Precio de referencia $1.419.900. Es la alternativa de menor costo y ofrece SSD de 512 GB. Precio consultado el 13/09/2026; sujeto a cambio y disponibilidad.</t>
  </si>
  <si>
    <t>Homecenter</t>
  </si>
  <si>
    <t>https://www.homecenter.com.co/homecenter-co/product/655841/portatil-lenovo-amd-ryzen-5-8gb-512gb-ideapad-slim-3-156-azul/655841/</t>
  </si>
  <si>
    <t>Ryzen 5 7520U, 8 GB RAM, SSD 512 GB, pantalla 15,6 FHD y Windows 11 Home. Incluye Wi-Fi 6 y garantía de 1 año.</t>
  </si>
  <si>
    <t>Precio publicado de oferta $1.659.900. Buen equilibrio entre rendimiento, almacenamiento y sistema operativo incluido. Precio consultado el 13/09/2026; sujeto a cambio y disponibilidad.</t>
  </si>
  <si>
    <t>https://www.falabella.com.co/falabella-co/product/156858754/portatil-lenovo-ideapad-slim-3-amd-ryzen-5-7520u-8gb-ram-512gb-ssd-15-6-fhd-gris-artico/156858755</t>
  </si>
  <si>
    <t>Ryzen 5 7520U, 8 GB RAM, SSD 512 GB, pantalla 15,6 FHD y Windows 11.</t>
  </si>
  <si>
    <t>Precio publicado $1.749.900. Se mantiene como alternativa de marca reconocida con Windows 11 y 512 GB SSD. Precio consultado el 13/09/2026; sujeto a cambio y disponibilidad.</t>
  </si>
  <si>
    <t xml:space="preserve">M </t>
  </si>
  <si>
    <t>Presupuestos (a)</t>
  </si>
  <si>
    <t>Empresa (Nombre fiscal de la empresa)</t>
  </si>
  <si>
    <t>Imágenes</t>
  </si>
  <si>
    <t>N.º de CUIT, Dirección, Teléfono (Datos de la empresa)</t>
  </si>
  <si>
    <t>Descripción del bien/servicio (Características de los bienes/servicios)</t>
  </si>
  <si>
    <t>Importe Unitario (moneda nacional)</t>
  </si>
  <si>
    <t>Importe Total IVA incluido (moneda nacional)</t>
  </si>
  <si>
    <t>Importe Total (moneda extranjera)</t>
  </si>
  <si>
    <t>Forma de Pago (Contado o Cheque)</t>
  </si>
  <si>
    <t>Observaciones</t>
  </si>
  <si>
    <t>HDD de 1 TB para almacenamiento de archivos y copias de seguridad.</t>
  </si>
  <si>
    <t>Precio $110.000. Es una solución económica para datos que no requieren velocidad SSD. Precio consultado el 13/09/2026; sujeto a cambio y disponibilidad.</t>
  </si>
  <si>
    <t>HDD Western Digital de 1 TB para almacenamiento secundario.</t>
  </si>
  <si>
    <t>Precio $175.000. Aporta marca reconocida y capacidad suficiente a bajo costo. Precio consultado el 13/09/2026; sujeto a cambio y disponibilidad.</t>
  </si>
  <si>
    <t>HDD Seagate de 1 TB, SATA y 64 MB de caché.</t>
  </si>
  <si>
    <t>Precio $299.900. Buena alternativa de respaldo con marca reconocida. Precio consultado el 13/09/2026; sujeto a cambio y disponibilidad.</t>
  </si>
  <si>
    <t>Xeon E3-1226 V3, 16 GB RAM, 2 discos SAS de 600 GB, 1,2 TB total. Solución reacondicionada para iniciar con bajo presupuesto.</t>
  </si>
  <si>
    <t>Precio $950.000. Es la opción más accesible; se recomienda para etapa inicial y exige verificar estado, discos y garantía. Precio consultado el 13/09/2026; sujeto a cambio y disponibilidad.</t>
  </si>
  <si>
    <t>Xeon E-2224, 16 GB DDR4 ECC, HDD Enterprise 1 TB y hasta 3 discos LFF.</t>
  </si>
  <si>
    <t>Precio $2.737.000 IVA incluido. ECC y plataforma de servidor ofrecen mayor estabilidad. Precio consultado el 13/09/2026; sujeto a cambio y disponibilidad.</t>
  </si>
  <si>
    <t>Servidor torre con Intel Xeon E-2224G para pequeñas empresas.</t>
  </si>
  <si>
    <t>Precio $3.404.348. Mayor inversión, pero plataforma de servidor de marca para mayor confiabilidad. Precio consultado el 13/09/2026; sujeto a cambio y disponibilidad.</t>
  </si>
  <si>
    <t>RAM DDR4 8 GB a 3200 MHz para equipos de escritorio.</t>
  </si>
  <si>
    <t>Precio $190.000 y 4,9/5. Es suficiente para tareas básicas y mantiene bajo el costo. Precio consultado el 13/09/2026; sujeto a cambio y disponibilidad.</t>
  </si>
  <si>
    <t>RAM DDR4 8 GB 3200 MHz para equipos compatibles.</t>
  </si>
  <si>
    <t>Precio $140.000. Es la alternativa más económica de las investigadas. Precio consultado el 13/09/2026; sujeto a cambio y disponibilidad.</t>
  </si>
  <si>
    <t>https://www.mercadolibre.com.co/crucial-16-gb-ddr4-3200</t>
  </si>
  <si>
    <t>RAM DDR4 de 16 GB a 3200 MHz para portátil o equipo compatible según formato.</t>
  </si>
  <si>
    <t>Precio $320.000. Si se requiere mayor multitarea, 16 GB evita limitaciones de memoria sin llegar a precios de gamas altas. Precio consultado el 13/09/2026; sujeto a cambio y disponibilidad.</t>
  </si>
  <si>
    <t>https://www.mercadolibre.com.co/tarjeta-grafica-gt-1030-2gb-gddr5-64-bit-low-powerhouse/p/MCO2065088638</t>
  </si>
  <si>
    <t>Tarjeta gráfica de entrada con 2 GB GDDR5, bajo consumo y PCIe. Adecuada para salida de video y tareas gráficas ligeras.</t>
  </si>
  <si>
    <t>Precio $315.317. Es mucho más económica que una RTX 3050 y suficiente si la necesidad gráfica es básica. Precio consultado el 13/09/2026; sujeto a cambio y disponibilidad.</t>
  </si>
  <si>
    <t>GPU de entrada con 4 GB GDDR5 y bus de 128 bits. Permite un mayor margen para tareas gráficas que una GT 1030.</t>
  </si>
  <si>
    <t>Precio de referencia $357.346. Ofrece 4 GB de VRAM por un costo moderado. Precio consultado el 13/09/2026; sujeto a cambio y disponibilidad.</t>
  </si>
  <si>
    <t>Tienda Akiba</t>
  </si>
  <si>
    <t>https://www.tiendaakiba.com/</t>
  </si>
  <si>
    <t>GPU de 4 GB GDDR6 para tareas gráficas, edición ligera y aplicaciones que requieran aceleración.</t>
  </si>
  <si>
    <t>Precio $933.900. Se mantiene como alternativa de mayor rendimiento, pero ya no es la recomendada por costo. Precio consultado el 13/09/2026; sujeto a cambio y disponibilidad.</t>
  </si>
  <si>
    <t>https://mips.com.co/</t>
  </si>
  <si>
    <t>6 núcleos y 12 hilos, frecuencia base 3,6 GHz, 16 MB de caché L3. Adecuado para programación y multitarea.</t>
  </si>
  <si>
    <t>Precio de referencia $400.000. Reduce significativamente el costo frente al Ryzen 7 5800XT y mantiene 6 núcleos/12 hilos. Precio consultado el 13/09/2026; sujeto a cambio y disponibilidad.</t>
  </si>
  <si>
    <t>AstroSetups Solutions</t>
  </si>
  <si>
    <t>https://www.astrosetups.com/</t>
  </si>
  <si>
    <t>6 núcleos y 12 hilos, plataforma AM4, buen rendimiento general para desarrollo y multitarea.</t>
  </si>
  <si>
    <t>Precio $463.000. Es un punto medio por rendimiento y precio. Precio consultado el 13/09/2026; sujeto a cambio y disponibilidad.</t>
  </si>
  <si>
    <t>Master Gamer Technology</t>
  </si>
  <si>
    <t>https://www.mastergamer.com.co/</t>
  </si>
  <si>
    <t>6 núcleos y 12 hilos con gráficos integrados, útil para reducir o eliminar la necesidad de GPU dedicada.</t>
  </si>
  <si>
    <t>Precio $650.000. El gráfico integrado puede ahorrar la compra de una tarjeta de video para un equipo de oficina/desarrollo. Precio consultado el 13/09/2026; sujeto a cambio y disponibilidad.</t>
  </si>
  <si>
    <t>https://www.libreoffice.org/</t>
  </si>
  <si>
    <t>Suite de oficina libre y de código abierto con Writer, Calc, Impress y Base.</t>
  </si>
  <si>
    <t>Costo $0. Incluye procesador de texto, hojas de cálculo, presentaciones y herramientas de base de datos. El ahorro frente a una licencia comercial es directo. Precio consultado el 13/09/2026; sujeto a cambio y disponibilidad.</t>
  </si>
  <si>
    <t>Sin costo</t>
  </si>
  <si>
    <t>ONLYOFFICE</t>
  </si>
  <si>
    <t>https://www.onlyoffice.com/</t>
  </si>
  <si>
    <t>Suite gratuita y de código abierto para documentos, hojas de cálculo, presentaciones y PDF.</t>
  </si>
  <si>
    <t>Costo $0. Es una alternativa compatible con formatos de oficina y no exige pago de licencia para la edición de escritorio. Precio consultado el 13/09/2026; sujeto a cambio y disponibilidad.</t>
  </si>
  <si>
    <t>https://www.microsoft.com/es-co/microsoft-365/free-office-online-for-the-web</t>
  </si>
  <si>
    <t>Versiones web gratuitas de Word, Excel y PowerPoint para trabajo básico con documentos.</t>
  </si>
  <si>
    <t>Costo $0 para el uso web básico. Evita comprar una licencia de Office de escritorio mientras el proyecto esté en etapa inicial. Precio consultado el 13/09/2026; sujeto a cambio y disponibilidad.</t>
  </si>
  <si>
    <t>Sin costo / sujeto a cuenta</t>
  </si>
  <si>
    <t>https://visualstudio.microsoft.com/es/vs/community/</t>
  </si>
  <si>
    <t>IDE completo y gratuito para desarrollo de aplicaciones, con depuración, pruebas y múltiples lenguajes.</t>
  </si>
  <si>
    <t>Costo $0. Microsoft permite su uso para desarrolladores individuales y organizaciones no empresariales de hasta cinco usuarios, sujeto a los términos de licencia. Precio consultado el 13/09/2026; sujeto a cambio y disponibilidad.</t>
  </si>
  <si>
    <t>Sin costo bajo licencia Community</t>
  </si>
  <si>
    <t>https://code.visualstudio.com/</t>
  </si>
  <si>
    <t>Editor de código gratuito y extensible para Windows, Linux y macOS, con soporte mediante extensiones.</t>
  </si>
  <si>
    <t>Costo $0. Consume menos recursos que un IDE completo y puede cubrir desarrollo web, Python, JavaScript y otros lenguajes. Precio consultado el 13/09/2026; sujeto a cambio y disponibilidad.</t>
  </si>
  <si>
    <t>Eclipse Foundation</t>
  </si>
  <si>
    <t>https://www.eclipse.org/ide/</t>
  </si>
  <si>
    <t>Entorno de desarrollo gratuito y de código abierto, especialmente útil para Java y otros lenguajes mediante plugins.</t>
  </si>
  <si>
    <t>Costo $0. Es una alternativa si el proyecto no depende específicamente de Visual Studio/.NET. Precio consultado el 13/09/2026; sujeto a cambio y disponibilidad.</t>
  </si>
  <si>
    <t>https://www.microsoft.com/es-co/d/windows-11-home/dg7gmgf0krt0</t>
  </si>
  <si>
    <t>Sistema operativo Windows 11 Home para equipos que requieren una licencia nueva.</t>
  </si>
  <si>
    <t>Precio oficial $769.999. Es más accesible que Pro y cubre las funciones de uso diario necesarias para el proyecto. Precio consultado el 13/09/2026; sujeto a cambio y disponibilidad.</t>
  </si>
  <si>
    <t>Licencia Microsoft</t>
  </si>
  <si>
    <t>Canonical</t>
  </si>
  <si>
    <t>https://ubuntu.com/download/desktop</t>
  </si>
  <si>
    <t>Sistema operativo de código abierto con cinco años de actualizaciones gratuitas de seguridad y mantenimiento en la versión LTS.</t>
  </si>
  <si>
    <t>Costo $0. Reduce el presupuesto de licenciamiento y es adecuado para desarrollo, servidores y herramientas web. Precio consultado el 13/09/2026; sujeto a cambio y disponibilidad.</t>
  </si>
  <si>
    <t>Proveedor de equipo</t>
  </si>
  <si>
    <t>https://www.microsoft.com/es-co/windows/</t>
  </si>
  <si>
    <t>Adquirir el equipo con licencia OEM de Windows 11 Home incluida evita comprar una licencia separada.</t>
  </si>
  <si>
    <t>Costo adicional $0 si la licencia OEM está incluida en la cotización del computador. Debe confirmarse por escrito antes de comprar. Precio consultado el 13/09/2026; sujeto a cambio y disponibilidad.</t>
  </si>
  <si>
    <t>Según equipo</t>
  </si>
  <si>
    <t>Descripción del bien/servicio (b) Características</t>
  </si>
  <si>
    <t>Forma de Pago</t>
  </si>
  <si>
    <t>https://www.microsoft.com/es/sql-server</t>
  </si>
  <si>
    <t>Edición gratuita de SQL Server orientada a aplicaciones de escritorio, web y servidores pequeños.</t>
  </si>
  <si>
    <t>Costo $0. Es la opción recomendada para Aaronova en etapa inicial por ser gratuita y suficiente para una base de datos pequeña. Precio consultado el 13/09/2026; sujeto a cambio y disponibilidad.</t>
  </si>
  <si>
    <t>Edición Enterprise completa y gratuita para desarrollo y pruebas en entornos no productivos.</t>
  </si>
  <si>
    <t>Costo $0 para desarrollo/pruebas. No debe usarse como licencia de producción. Precio consultado el 13/09/2026; sujeto a cambio y disponibilidad.</t>
  </si>
  <si>
    <t>Sin costo para desarrollo/pruebas</t>
  </si>
  <si>
    <t>PostgreSQL Global Development Group</t>
  </si>
  <si>
    <t>https://www.postgresql.org/</t>
  </si>
  <si>
    <t>Sistema de gestión de bases de datos relacional de código abierto, robusto y gratuito.</t>
  </si>
  <si>
    <t>Costo $0. Evita una licencia propietaria y ofrece capacidad suficiente para un sistema de inventario de pequeña y mediana escala. Precio consultado el 13/09/2026; sujeto a cambio y disponibilidad.</t>
  </si>
  <si>
    <t>IaaS (Infraestructura como un servicio)</t>
  </si>
  <si>
    <t>https://aws.amazon.com/es/free/</t>
  </si>
  <si>
    <t>Infraestructura en la nube con EC2 y otros servicios seleccionados. Los nuevos clientes reciben hasta US$200 en créditos y pueden usar el plan gratuito hasta 6 meses.</t>
  </si>
  <si>
    <t>Transferencia</t>
  </si>
  <si>
    <t>Costo inicial $0 dentro de los límites del nivel gratuito. Permite probar el sistema antes de asumir un gasto mensual. Consulta 13/09/2026; sujeto a cambios.</t>
  </si>
  <si>
    <t>Google Cloud Free Tier</t>
  </si>
  <si>
    <t>https://cloud.google.com/free</t>
  </si>
  <si>
    <t>Compute Engine y otros servicios con más de 20 productos con nivel gratuito y US$300 de crédito para clientes nuevos.</t>
  </si>
  <si>
    <t>Costo inicial $0 dentro de los límites gratuitos. Los US$300 de crédito permiten realizar pruebas y validar la infraestructura. Consulta 13/09/2026; sujeto a cambios.</t>
  </si>
  <si>
    <t>Oracle Cloud Always Free</t>
  </si>
  <si>
    <t>https://www.oracle.com/latam/cloud/free/</t>
  </si>
  <si>
    <t>Servicios Always Free con máquinas virtuales, almacenamiento en bloque y objetos. Permite mantener recursos gratuitos dentro de los límites establecidos.</t>
  </si>
  <si>
    <t>Costo $0 para los recursos Always Free dentro de los límites. Es una alternativa especialmente atractiva para una implementación pequeña y de prueba. Consulta 13/09/2026; sujeto a cambios.</t>
  </si>
  <si>
    <t>PaaS (Plataforma como un servicio)</t>
  </si>
  <si>
    <t>Firebase Spark</t>
  </si>
  <si>
    <t>https://firebase.google.com/pricing</t>
  </si>
  <si>
    <t>Servicios backend con plan Spark sin costo, incluyendo autenticación, analytics y cuotas gratuitas para varios servicios.</t>
  </si>
  <si>
    <t>Costo $0 para el uso cubierto por el plan Spark y sin necesidad de introducir información de pago para comenzar. Consulta 13/09/2026; sujeto a cambios.</t>
  </si>
  <si>
    <t>https://render.com/pricing</t>
  </si>
  <si>
    <t>PaaS para desplegar servicios web, Postgres y otros recursos con planes Free sujetos a límites.</t>
  </si>
  <si>
    <t>Costo $0 para prototipos y proyectos pequeños. Es útil para validar el sistema antes de contratar infraestructura permanente. Consulta 13/09/2026; sujeto a cambios.</t>
  </si>
  <si>
    <t>Vercel Hobby</t>
  </si>
  <si>
    <t>https://vercel.com/pricing</t>
  </si>
  <si>
    <t>Plataforma de despliegue para aplicaciones web con CDN, CI/CD y funciones de seguridad básicas en el plan Hobby.</t>
  </si>
  <si>
    <t>Costo $0/mes en Hobby. Adecuado para prototipos y proyectos personales; si aumenta el uso se puede migrar al plan Pro. Consulta 13/09/2026; sujeto a cambios.</t>
  </si>
  <si>
    <t>SaaS (Software como un servicio)</t>
  </si>
  <si>
    <t>Google Workspace – prueba / plan inicial</t>
  </si>
  <si>
    <t>https://workspace.google.com/pricing</t>
  </si>
  <si>
    <t>Herramientas de colaboración y productividad en la nube. Se puede comenzar con pruebas y posteriormente contratar solo las cuentas necesarias.</t>
  </si>
  <si>
    <t>Se prioriza evitar una licencia completa mientras el proyecto está iniciando. Confirmar precio final y número de usuarios antes de contratar. Consulta 13/09/2026; sujeto a cambios.</t>
  </si>
  <si>
    <t>Microsoft 365 para la Web</t>
  </si>
  <si>
    <t>Word, Excel y PowerPoint en versión web gratuita para tareas básicas.</t>
  </si>
  <si>
    <t>Costo $0 para las aplicaciones web gratuitas. Reduce la necesidad de una licencia de Office de escritorio al comienzo. Consulta 13/09/2026; sujeto a cambios.</t>
  </si>
  <si>
    <t>Servicios de autenticación, analítica, mensajería y otras capacidades sin costo bajo el plan Spark, con límites de uso.</t>
  </si>
  <si>
    <t>Costo $0 dentro de las cuotas gratuitas. Puede cubrir funciones SaaS/backend sin contratar una suite empresarial. Consulta 13/09/2026; sujeto a cambios.</t>
  </si>
  <si>
    <t>FaaS (Funciones como un servicio)</t>
  </si>
  <si>
    <t>AWS Lambda Free Tier</t>
  </si>
  <si>
    <t>https://aws.amazon.com/es/lambda/pricing/</t>
  </si>
  <si>
    <t>Ejecución de funciones sin administrar servidores, útil para automatizar tareas pequeñas del sistema.</t>
  </si>
  <si>
    <t>Permite comenzar con costo muy bajo o $0 dentro de las cuotas gratuitas y pagar solo cuando aumente el uso. Consulta 13/09/2026; sujeto a cambios.</t>
  </si>
  <si>
    <t>Google Cloud Functions / Cloud Run</t>
  </si>
  <si>
    <t>Servicios serverless y de contenedores con créditos y niveles gratuitos para clientes nuevos.</t>
  </si>
  <si>
    <t>Costo inicial $0 dentro de los límites gratuitos. Es adecuado para procesos automáticos y APIs pequeñas. Consulta 13/09/2026; sujeto a cambios.</t>
  </si>
  <si>
    <t>Firebase Cloud Functions</t>
  </si>
  <si>
    <t>Funciones backend integradas con Firebase para ejecutar lógica del sistema bajo demanda.</t>
  </si>
  <si>
    <t>Se puede comenzar sin costo en la etapa de desarrollo mediante el ecosistema Firebase; revisar requisitos del plan antes de pasar a producción. Consulta 13/09/2026; sujeto a cambios.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</si>
</sst>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0_);_([$$-409]* \(#,##0.00\);_([$$-409]* &quot;-&quot;??_);_(@_)"/>
    <numFmt numFmtId="165" formatCode="&quot;$&quot;#,##0.00"/>
    <numFmt numFmtId="166" formatCode="\$#,##0"/>
    <numFmt numFmtId="167" formatCode="yyyy\-mm\-dd\ h:mm:ss"/>
    <numFmt numFmtId="168" formatCode="dd/mm/yyyy"/>
  </numFmts>
  <fonts count="49" x14ac:knownFonts="1">
    <font>
      <sz val="10"/>
      <color rgb="FF000000"/>
      <name val="Arial"/>
      <scheme val="minor"/>
    </font>
    <font>
      <b/>
      <sz val="13"/>
      <color theme="1"/>
      <name val="Arial"/>
    </font>
    <font>
      <b/>
      <sz val="12"/>
      <color theme="1"/>
      <name val="Arial"/>
    </font>
    <font>
      <sz val="10"/>
      <color theme="1"/>
      <name val="Arial"/>
    </font>
    <font>
      <b/>
      <sz val="16"/>
      <color theme="1"/>
      <name val="Arial"/>
    </font>
    <font>
      <sz val="14"/>
      <color theme="1"/>
      <name val="Arial"/>
    </font>
    <font>
      <sz val="12"/>
      <color theme="1"/>
      <name val="Arial"/>
    </font>
    <font>
      <sz val="15"/>
      <color theme="1"/>
      <name val="Arial"/>
    </font>
    <font>
      <sz val="10"/>
      <color theme="1"/>
      <name val="Arial"/>
    </font>
    <font>
      <b/>
      <sz val="10"/>
      <color theme="1"/>
      <name val="Arial"/>
    </font>
    <font>
      <b/>
      <i/>
      <sz val="10"/>
      <color theme="1"/>
      <name val="Arial"/>
    </font>
    <font>
      <i/>
      <sz val="10"/>
      <color theme="1"/>
      <name val="Arial"/>
    </font>
    <font>
      <sz val="10"/>
      <color rgb="FF000000"/>
      <name val="Arial"/>
    </font>
    <font>
      <sz val="11"/>
      <color theme="1"/>
      <name val="Arial"/>
    </font>
    <font>
      <sz val="11"/>
      <color theme="1"/>
      <name val="Trebuchet MS"/>
    </font>
    <font>
      <sz val="8"/>
      <color theme="1"/>
      <name val="Arial"/>
    </font>
    <font>
      <sz val="10"/>
      <color theme="1"/>
      <name val="Trebuchet MS"/>
    </font>
    <font>
      <sz val="10"/>
      <color theme="1"/>
      <name val="Arial Narrow"/>
    </font>
    <font>
      <sz val="10"/>
      <color theme="1"/>
      <name val="Arial"/>
      <scheme val="minor"/>
    </font>
    <font>
      <sz val="14"/>
      <color rgb="FF000000"/>
      <name val="Arial"/>
    </font>
    <font>
      <u/>
      <sz val="14"/>
      <color rgb="FF0000FF"/>
      <name val="Arial"/>
    </font>
    <font>
      <sz val="10"/>
      <color rgb="FF000000"/>
      <name val="Arial"/>
    </font>
    <font>
      <sz val="10"/>
      <color theme="10"/>
      <name val="Arial"/>
    </font>
    <font>
      <u/>
      <sz val="10"/>
      <color rgb="FF0000FF"/>
      <name val="Arial"/>
    </font>
    <font>
      <b/>
      <sz val="12"/>
      <color theme="1"/>
      <name val="Arial"/>
      <family val="2"/>
    </font>
    <font>
      <sz val="12"/>
      <color theme="1"/>
      <name val="Arial"/>
      <family val="2"/>
    </font>
    <font>
      <sz val="16"/>
      <color rgb="FF000000"/>
      <name val="Arial"/>
      <family val="2"/>
      <scheme val="minor"/>
    </font>
    <font>
      <sz val="12"/>
      <color rgb="FF000000"/>
      <name val="Arial"/>
      <family val="2"/>
    </font>
    <font>
      <b/>
      <u/>
      <sz val="12"/>
      <color theme="1"/>
      <name val="Arial"/>
      <family val="2"/>
    </font>
    <font>
      <b/>
      <i/>
      <sz val="12"/>
      <color theme="1"/>
      <name val="Arial"/>
      <family val="2"/>
    </font>
    <font>
      <u/>
      <sz val="12"/>
      <color rgb="FF0000FF"/>
      <name val="Arial"/>
      <family val="2"/>
    </font>
    <font>
      <u/>
      <sz val="12"/>
      <color rgb="FF000000"/>
      <name val="Arial"/>
      <family val="2"/>
    </font>
    <font>
      <sz val="12"/>
      <color rgb="FF231F20"/>
      <name val="Arial"/>
      <family val="2"/>
    </font>
    <font>
      <b/>
      <u/>
      <sz val="12"/>
      <color theme="1"/>
      <name val="Arial"/>
    </font>
    <font>
      <b/>
      <i/>
      <sz val="12"/>
      <color theme="1"/>
      <name val="Arial"/>
    </font>
    <font>
      <sz val="12"/>
      <color rgb="FF000000"/>
      <name val="Arial"/>
    </font>
    <font>
      <u/>
      <sz val="12"/>
      <color rgb="FF0000FF"/>
      <name val="Arial"/>
    </font>
    <font>
      <sz val="12"/>
      <color rgb="FF222222"/>
      <name val="Arial"/>
    </font>
    <font>
      <u/>
      <sz val="12"/>
      <color rgb="FF000000"/>
      <name val="Arial"/>
    </font>
    <font>
      <sz val="12"/>
      <color rgb="FF231F20"/>
      <name val="Arial"/>
    </font>
    <font>
      <sz val="12"/>
      <color rgb="FF333333"/>
      <name val="Arial"/>
    </font>
    <font>
      <u/>
      <sz val="12"/>
      <color theme="10"/>
      <name val="Arial"/>
    </font>
    <font>
      <sz val="12"/>
      <color rgb="FF313131"/>
      <name val="Arial"/>
    </font>
    <font>
      <sz val="12"/>
      <color rgb="FF252525"/>
      <name val="Arial"/>
    </font>
    <font>
      <sz val="12"/>
      <color rgb="FF4A4A4A"/>
      <name val="Arial"/>
    </font>
    <font>
      <sz val="12"/>
      <color rgb="FF353535"/>
      <name val="Arial"/>
    </font>
    <font>
      <sz val="12"/>
      <color rgb="FF0F1111"/>
      <name val="Arial"/>
    </font>
    <font>
      <sz val="12"/>
      <color rgb="FF666666"/>
      <name val="Arial"/>
    </font>
    <font>
      <sz val="12"/>
      <color rgb="FF444444"/>
      <name val="Arial"/>
    </font>
  </fonts>
  <fills count="19">
    <fill>
      <patternFill patternType="none"/>
    </fill>
    <fill>
      <patternFill patternType="gray125"/>
    </fill>
    <fill>
      <patternFill patternType="solid">
        <fgColor rgb="FFC9DAF8"/>
        <bgColor rgb="FFC9DAF8"/>
      </patternFill>
    </fill>
    <fill>
      <patternFill patternType="solid">
        <fgColor rgb="FF6D9EEB"/>
        <bgColor rgb="FF6D9EEB"/>
      </patternFill>
    </fill>
    <fill>
      <patternFill patternType="solid">
        <fgColor rgb="FFFFFFFF"/>
        <bgColor rgb="FFFFFFFF"/>
      </patternFill>
    </fill>
    <fill>
      <patternFill patternType="solid">
        <fgColor rgb="FF6FA8DC"/>
        <bgColor rgb="FF6FA8DC"/>
      </patternFill>
    </fill>
    <fill>
      <patternFill patternType="solid">
        <fgColor theme="0"/>
        <bgColor theme="0"/>
      </patternFill>
    </fill>
    <fill>
      <patternFill patternType="solid">
        <fgColor rgb="FFA4C2F4"/>
        <bgColor rgb="FFA4C2F4"/>
      </patternFill>
    </fill>
    <fill>
      <patternFill patternType="solid">
        <fgColor rgb="FFF5F5F5"/>
        <bgColor rgb="FFF5F5F5"/>
      </patternFill>
    </fill>
    <fill>
      <patternFill patternType="solid">
        <fgColor rgb="FF9FC5E8"/>
        <bgColor rgb="FF9FC5E8"/>
      </patternFill>
    </fill>
    <fill>
      <patternFill patternType="solid">
        <fgColor rgb="FFCFE2F3"/>
        <bgColor rgb="FFCFE2F3"/>
      </patternFill>
    </fill>
    <fill>
      <patternFill patternType="solid">
        <fgColor rgb="FFC0C0C0"/>
        <bgColor rgb="FFC0C0C0"/>
      </patternFill>
    </fill>
    <fill>
      <patternFill patternType="solid">
        <fgColor theme="9"/>
        <bgColor rgb="FF6D9EEB"/>
      </patternFill>
    </fill>
    <fill>
      <patternFill patternType="solid">
        <fgColor theme="9"/>
        <bgColor rgb="FFC9DAF8"/>
      </patternFill>
    </fill>
    <fill>
      <patternFill patternType="solid">
        <fgColor theme="9" tint="0.39997558519241921"/>
        <bgColor rgb="FFC9DAF8"/>
      </patternFill>
    </fill>
    <fill>
      <patternFill patternType="solid">
        <fgColor theme="9" tint="0.39997558519241921"/>
        <bgColor indexed="64"/>
      </patternFill>
    </fill>
    <fill>
      <patternFill patternType="solid">
        <fgColor theme="9" tint="0.39997558519241921"/>
        <bgColor theme="0"/>
      </patternFill>
    </fill>
    <fill>
      <patternFill patternType="solid">
        <fgColor theme="9"/>
        <bgColor rgb="FF6FA8DC"/>
      </patternFill>
    </fill>
    <fill>
      <patternFill patternType="solid">
        <fgColor theme="9"/>
        <bgColor rgb="FFA4C2F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4">
    <xf numFmtId="0" fontId="0" fillId="0" borderId="0" xfId="0"/>
    <xf numFmtId="0" fontId="3" fillId="0" borderId="0" xfId="0" applyFont="1"/>
    <xf numFmtId="0" fontId="1" fillId="2" borderId="0" xfId="0" applyFont="1" applyFill="1" applyAlignment="1">
      <alignment wrapText="1"/>
    </xf>
    <xf numFmtId="0" fontId="6" fillId="0" borderId="0" xfId="0" applyFont="1" applyAlignment="1">
      <alignment wrapText="1"/>
    </xf>
    <xf numFmtId="0" fontId="3" fillId="4" borderId="0" xfId="0" applyFont="1" applyFill="1"/>
    <xf numFmtId="0" fontId="4" fillId="0" borderId="0" xfId="0" applyFont="1"/>
    <xf numFmtId="0" fontId="3" fillId="2" borderId="0" xfId="0" applyFont="1" applyFill="1"/>
    <xf numFmtId="0" fontId="3" fillId="3" borderId="0" xfId="0" applyFont="1" applyFill="1"/>
    <xf numFmtId="0" fontId="8" fillId="0" borderId="0" xfId="0" applyFont="1"/>
    <xf numFmtId="0" fontId="3" fillId="6" borderId="0" xfId="0" applyFont="1" applyFill="1"/>
    <xf numFmtId="0" fontId="5" fillId="0" borderId="0" xfId="0" applyFont="1"/>
    <xf numFmtId="0" fontId="7" fillId="0" borderId="0" xfId="0" applyFont="1" applyAlignment="1">
      <alignment horizontal="center"/>
    </xf>
    <xf numFmtId="0" fontId="11" fillId="0" borderId="0" xfId="0" applyFont="1" applyAlignment="1">
      <alignment horizontal="center" vertical="center"/>
    </xf>
    <xf numFmtId="0" fontId="12" fillId="0" borderId="0" xfId="0" applyFont="1"/>
    <xf numFmtId="0" fontId="13" fillId="0" borderId="3" xfId="0" applyFont="1" applyBorder="1"/>
    <xf numFmtId="0" fontId="14" fillId="0" borderId="3" xfId="0" applyFont="1" applyBorder="1" applyAlignment="1">
      <alignment horizontal="left" vertical="top" wrapText="1"/>
    </xf>
    <xf numFmtId="0" fontId="13" fillId="0" borderId="0" xfId="0" applyFont="1"/>
    <xf numFmtId="0" fontId="8" fillId="0" borderId="3" xfId="0" applyFont="1" applyBorder="1"/>
    <xf numFmtId="0" fontId="15" fillId="0" borderId="0" xfId="0" applyFont="1"/>
    <xf numFmtId="0" fontId="16" fillId="0" borderId="3" xfId="0" applyFont="1" applyBorder="1" applyAlignment="1">
      <alignment horizontal="left" vertical="top" wrapText="1"/>
    </xf>
    <xf numFmtId="0" fontId="17" fillId="0" borderId="0" xfId="0" applyFont="1" applyAlignment="1">
      <alignment horizontal="center" vertical="center" wrapText="1"/>
    </xf>
    <xf numFmtId="0" fontId="18" fillId="0" borderId="3" xfId="0" applyFont="1" applyBorder="1"/>
    <xf numFmtId="0" fontId="2" fillId="2" borderId="9" xfId="0" applyFont="1" applyFill="1" applyBorder="1" applyAlignment="1">
      <alignment horizontal="center" vertical="center" wrapText="1"/>
    </xf>
    <xf numFmtId="0" fontId="5"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5" fillId="0" borderId="3" xfId="0" applyFont="1" applyBorder="1"/>
    <xf numFmtId="0" fontId="19" fillId="0" borderId="10" xfId="0" applyFont="1" applyBorder="1" applyAlignment="1">
      <alignment horizontal="center" vertical="center" wrapText="1"/>
    </xf>
    <xf numFmtId="0" fontId="5" fillId="0" borderId="3" xfId="0" applyFont="1" applyBorder="1" applyAlignment="1">
      <alignment horizontal="left" vertical="top" wrapText="1"/>
    </xf>
    <xf numFmtId="0" fontId="16" fillId="0" borderId="10" xfId="0" applyFont="1" applyBorder="1" applyAlignment="1">
      <alignment horizontal="left" vertical="top" wrapText="1"/>
    </xf>
    <xf numFmtId="0" fontId="8" fillId="0" borderId="3" xfId="0" applyFont="1" applyBorder="1" applyAlignment="1">
      <alignment horizontal="center" vertical="center" wrapText="1"/>
    </xf>
    <xf numFmtId="0" fontId="23" fillId="0" borderId="3" xfId="0" applyFont="1" applyBorder="1" applyAlignment="1">
      <alignment horizontal="center" vertical="center" wrapText="1"/>
    </xf>
    <xf numFmtId="0" fontId="2" fillId="9" borderId="9" xfId="0" applyFont="1" applyFill="1" applyBorder="1" applyAlignment="1">
      <alignment horizontal="center" vertical="center" wrapText="1"/>
    </xf>
    <xf numFmtId="0" fontId="8" fillId="0" borderId="1" xfId="0" applyFont="1" applyBorder="1"/>
    <xf numFmtId="0" fontId="21" fillId="0" borderId="10" xfId="0" applyFont="1" applyBorder="1" applyAlignment="1">
      <alignment horizontal="center" vertical="center" wrapText="1"/>
    </xf>
    <xf numFmtId="0" fontId="8" fillId="0" borderId="3" xfId="0" applyFont="1" applyBorder="1" applyAlignment="1">
      <alignment horizontal="left" vertical="top" wrapText="1"/>
    </xf>
    <xf numFmtId="0" fontId="2" fillId="7" borderId="9" xfId="0" applyFont="1" applyFill="1" applyBorder="1" applyAlignment="1">
      <alignment horizontal="center" vertical="center" wrapText="1"/>
    </xf>
    <xf numFmtId="0" fontId="3" fillId="0" borderId="0" xfId="0" applyFont="1" applyAlignment="1">
      <alignment wrapText="1"/>
    </xf>
    <xf numFmtId="0" fontId="9" fillId="0" borderId="3" xfId="0" applyFont="1" applyBorder="1" applyAlignment="1">
      <alignment horizontal="center" vertical="center" wrapText="1"/>
    </xf>
    <xf numFmtId="0" fontId="3" fillId="0" borderId="3" xfId="0" applyFont="1" applyBorder="1" applyAlignment="1">
      <alignment vertical="center" wrapText="1"/>
    </xf>
    <xf numFmtId="0" fontId="18" fillId="0" borderId="0" xfId="0" applyFont="1"/>
    <xf numFmtId="0" fontId="10" fillId="0" borderId="0" xfId="0" applyFont="1" applyAlignment="1">
      <alignment horizontal="center" vertical="center"/>
    </xf>
    <xf numFmtId="3" fontId="16" fillId="0" borderId="3" xfId="0" applyNumberFormat="1" applyFont="1" applyBorder="1" applyAlignment="1">
      <alignment horizontal="center" vertical="top" wrapText="1"/>
    </xf>
    <xf numFmtId="0" fontId="18" fillId="0" borderId="3" xfId="0" applyFont="1" applyBorder="1" applyAlignment="1">
      <alignment vertical="center" wrapText="1"/>
    </xf>
    <xf numFmtId="0" fontId="2" fillId="13" borderId="11" xfId="0" applyFont="1" applyFill="1" applyBorder="1" applyAlignment="1">
      <alignment horizontal="center" wrapText="1"/>
    </xf>
    <xf numFmtId="0" fontId="6" fillId="15" borderId="11" xfId="0" applyFont="1" applyFill="1" applyBorder="1" applyAlignment="1">
      <alignment vertical="top" wrapText="1"/>
    </xf>
    <xf numFmtId="0" fontId="0" fillId="15" borderId="0" xfId="0" applyFill="1"/>
    <xf numFmtId="0" fontId="6" fillId="16" borderId="0" xfId="0" applyFont="1" applyFill="1" applyAlignment="1">
      <alignment wrapText="1"/>
    </xf>
    <xf numFmtId="0" fontId="6" fillId="15" borderId="0" xfId="0" applyFont="1" applyFill="1" applyAlignment="1">
      <alignment wrapText="1"/>
    </xf>
    <xf numFmtId="0" fontId="26" fillId="0" borderId="0" xfId="0" applyFont="1"/>
    <xf numFmtId="0" fontId="27" fillId="0" borderId="0" xfId="0" applyFont="1"/>
    <xf numFmtId="0" fontId="24" fillId="17" borderId="3" xfId="0" applyFont="1" applyFill="1" applyBorder="1" applyAlignment="1">
      <alignment horizontal="center" vertical="center" wrapText="1"/>
    </xf>
    <xf numFmtId="0" fontId="28" fillId="17" borderId="3" xfId="0" applyFont="1" applyFill="1" applyBorder="1" applyAlignment="1">
      <alignment horizontal="center" vertical="center" wrapText="1"/>
    </xf>
    <xf numFmtId="0" fontId="24" fillId="17" borderId="4" xfId="0" applyFont="1" applyFill="1" applyBorder="1" applyAlignment="1">
      <alignment horizontal="center" vertical="center" wrapText="1"/>
    </xf>
    <xf numFmtId="0" fontId="27"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3" xfId="0" applyFont="1" applyBorder="1" applyAlignment="1">
      <alignment horizontal="left" vertical="top" wrapText="1"/>
    </xf>
    <xf numFmtId="0" fontId="27" fillId="4" borderId="3" xfId="0" applyFont="1" applyFill="1" applyBorder="1" applyAlignment="1">
      <alignment horizontal="left" vertical="top" wrapText="1"/>
    </xf>
    <xf numFmtId="2" fontId="27" fillId="0" borderId="3" xfId="0" applyNumberFormat="1" applyFont="1" applyBorder="1" applyAlignment="1">
      <alignment horizontal="center" vertical="center" wrapText="1"/>
    </xf>
    <xf numFmtId="0" fontId="27" fillId="4" borderId="5" xfId="0" applyFont="1" applyFill="1" applyBorder="1" applyAlignment="1">
      <alignment horizontal="left" vertical="top" wrapText="1"/>
    </xf>
    <xf numFmtId="0" fontId="25" fillId="0" borderId="3" xfId="0" applyFont="1" applyBorder="1" applyAlignment="1">
      <alignment horizontal="center" vertical="center" wrapText="1"/>
    </xf>
    <xf numFmtId="0" fontId="24" fillId="18" borderId="3" xfId="0" applyFont="1" applyFill="1" applyBorder="1" applyAlignment="1">
      <alignment horizontal="center" vertical="center" wrapText="1"/>
    </xf>
    <xf numFmtId="0" fontId="28" fillId="18" borderId="3" xfId="0" applyFont="1" applyFill="1" applyBorder="1" applyAlignment="1">
      <alignment horizontal="center" vertical="center" wrapText="1"/>
    </xf>
    <xf numFmtId="0" fontId="24" fillId="18" borderId="4" xfId="0" applyFont="1" applyFill="1" applyBorder="1" applyAlignment="1">
      <alignment horizontal="center" vertical="center" wrapText="1"/>
    </xf>
    <xf numFmtId="0" fontId="25" fillId="0" borderId="6" xfId="0" applyFont="1" applyBorder="1" applyAlignment="1">
      <alignment vertical="center" wrapText="1"/>
    </xf>
    <xf numFmtId="0" fontId="30" fillId="0" borderId="7" xfId="0" applyFont="1" applyBorder="1" applyAlignment="1">
      <alignment horizontal="left" vertical="top" wrapText="1"/>
    </xf>
    <xf numFmtId="0" fontId="27" fillId="0" borderId="3" xfId="0" applyFont="1" applyBorder="1" applyAlignment="1">
      <alignment horizontal="left" vertical="top" wrapText="1"/>
    </xf>
    <xf numFmtId="0" fontId="25" fillId="4" borderId="1" xfId="0" applyFont="1" applyFill="1" applyBorder="1" applyAlignment="1">
      <alignment horizontal="center" vertical="center" wrapText="1"/>
    </xf>
    <xf numFmtId="0" fontId="30" fillId="4" borderId="3" xfId="0" applyFont="1" applyFill="1" applyBorder="1" applyAlignment="1">
      <alignment horizontal="left" vertical="top" wrapText="1"/>
    </xf>
    <xf numFmtId="0" fontId="27" fillId="8" borderId="3" xfId="0" applyFont="1" applyFill="1" applyBorder="1" applyAlignment="1">
      <alignment horizontal="left" vertical="top" wrapText="1"/>
    </xf>
    <xf numFmtId="0" fontId="25" fillId="0" borderId="1" xfId="0" applyFont="1" applyBorder="1" applyAlignment="1">
      <alignment horizontal="center" vertical="center" wrapText="1"/>
    </xf>
    <xf numFmtId="0" fontId="0" fillId="0" borderId="0" xfId="0"/>
    <xf numFmtId="0" fontId="24" fillId="12" borderId="3"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19" fillId="0" borderId="3" xfId="0" applyFont="1" applyBorder="1" applyAlignment="1">
      <alignment horizontal="center" vertical="center" wrapText="1"/>
    </xf>
    <xf numFmtId="0" fontId="21" fillId="0" borderId="3" xfId="0" applyFont="1" applyBorder="1" applyAlignment="1">
      <alignment horizontal="left" vertical="top" wrapText="1"/>
    </xf>
    <xf numFmtId="0" fontId="21" fillId="0" borderId="3" xfId="0" applyFont="1" applyBorder="1" applyAlignment="1">
      <alignment horizontal="center" vertical="center" wrapText="1"/>
    </xf>
    <xf numFmtId="0" fontId="2" fillId="12" borderId="11" xfId="0" applyFont="1" applyFill="1" applyBorder="1" applyAlignment="1">
      <alignment horizontal="center" wrapText="1"/>
    </xf>
    <xf numFmtId="0" fontId="2" fillId="12" borderId="11" xfId="0" applyFont="1" applyFill="1" applyBorder="1" applyAlignment="1">
      <alignment wrapText="1"/>
    </xf>
    <xf numFmtId="0" fontId="6" fillId="14" borderId="11" xfId="0" applyFont="1" applyFill="1" applyBorder="1" applyAlignment="1">
      <alignment wrapText="1"/>
    </xf>
    <xf numFmtId="167" fontId="6" fillId="14" borderId="11" xfId="0" applyNumberFormat="1" applyFont="1" applyFill="1" applyBorder="1" applyAlignment="1">
      <alignment wrapText="1"/>
    </xf>
    <xf numFmtId="0" fontId="6" fillId="14" borderId="11" xfId="0" applyFont="1" applyFill="1" applyBorder="1" applyAlignment="1">
      <alignment vertical="top" wrapText="1"/>
    </xf>
    <xf numFmtId="0" fontId="2" fillId="13" borderId="11" xfId="0" applyFont="1" applyFill="1" applyBorder="1" applyAlignment="1">
      <alignment wrapText="1"/>
    </xf>
    <xf numFmtId="0" fontId="2" fillId="14" borderId="11" xfId="0" applyFont="1" applyFill="1" applyBorder="1" applyAlignment="1">
      <alignment horizontal="center" wrapText="1"/>
    </xf>
    <xf numFmtId="0" fontId="6" fillId="14" borderId="11" xfId="0" applyFont="1" applyFill="1" applyBorder="1" applyAlignment="1">
      <alignment horizontal="center" wrapText="1"/>
    </xf>
    <xf numFmtId="168" fontId="6" fillId="14" borderId="11" xfId="0" applyNumberFormat="1" applyFont="1" applyFill="1" applyBorder="1" applyAlignment="1">
      <alignment horizontal="center" wrapText="1"/>
    </xf>
    <xf numFmtId="0" fontId="24" fillId="12" borderId="0" xfId="0" applyFont="1" applyFill="1" applyAlignment="1">
      <alignment horizontal="center" wrapText="1"/>
    </xf>
    <xf numFmtId="0" fontId="24" fillId="14" borderId="0" xfId="0" applyFont="1" applyFill="1" applyAlignment="1">
      <alignment horizontal="center" wrapText="1"/>
    </xf>
    <xf numFmtId="0" fontId="25" fillId="12" borderId="0" xfId="0" applyFont="1" applyFill="1" applyAlignment="1">
      <alignment vertical="top" wrapText="1"/>
    </xf>
    <xf numFmtId="0" fontId="25" fillId="14" borderId="0" xfId="0" applyFont="1" applyFill="1" applyAlignment="1">
      <alignment vertical="top" wrapText="1"/>
    </xf>
    <xf numFmtId="0" fontId="25" fillId="14" borderId="0" xfId="0" applyFont="1" applyFill="1" applyAlignment="1">
      <alignment wrapText="1"/>
    </xf>
    <xf numFmtId="0" fontId="24" fillId="14" borderId="3" xfId="0" applyFont="1" applyFill="1" applyBorder="1" applyAlignment="1">
      <alignment horizontal="center" vertical="center" wrapText="1"/>
    </xf>
    <xf numFmtId="0" fontId="29" fillId="17" borderId="3" xfId="0" applyFont="1" applyFill="1" applyBorder="1" applyAlignment="1">
      <alignment horizontal="center" vertical="center" wrapText="1"/>
    </xf>
    <xf numFmtId="0" fontId="27" fillId="14" borderId="3" xfId="0" applyFont="1" applyFill="1" applyBorder="1" applyAlignment="1">
      <alignment horizontal="center" vertical="center" wrapText="1"/>
    </xf>
    <xf numFmtId="166" fontId="27" fillId="0" borderId="3" xfId="0" applyNumberFormat="1" applyFont="1" applyBorder="1" applyAlignment="1">
      <alignment horizontal="center" vertical="center" wrapText="1"/>
    </xf>
    <xf numFmtId="166" fontId="31" fillId="0" borderId="3" xfId="0" applyNumberFormat="1" applyFont="1" applyBorder="1" applyAlignment="1">
      <alignment horizontal="center" vertical="center" wrapText="1"/>
    </xf>
    <xf numFmtId="0" fontId="32" fillId="14" borderId="3" xfId="0" applyFont="1" applyFill="1" applyBorder="1" applyAlignment="1">
      <alignment horizontal="center" vertical="center" wrapText="1"/>
    </xf>
    <xf numFmtId="0" fontId="27" fillId="14" borderId="1" xfId="0" applyFont="1" applyFill="1" applyBorder="1" applyAlignment="1">
      <alignment horizontal="center" vertical="center" wrapText="1"/>
    </xf>
    <xf numFmtId="166" fontId="31" fillId="4" borderId="3" xfId="0" applyNumberFormat="1"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4"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3" fillId="2" borderId="8"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5" fillId="14" borderId="3" xfId="0" applyFont="1" applyFill="1" applyBorder="1" applyAlignment="1">
      <alignment horizontal="center" vertical="center" wrapText="1"/>
    </xf>
    <xf numFmtId="0" fontId="36" fillId="0" borderId="3" xfId="0" applyFont="1" applyBorder="1" applyAlignment="1">
      <alignment horizontal="left" vertical="top" wrapText="1"/>
    </xf>
    <xf numFmtId="0" fontId="37" fillId="4" borderId="3" xfId="0" applyFont="1" applyFill="1" applyBorder="1" applyAlignment="1">
      <alignment horizontal="left" vertical="top" wrapText="1"/>
    </xf>
    <xf numFmtId="166" fontId="35" fillId="0" borderId="3" xfId="0" applyNumberFormat="1" applyFont="1" applyBorder="1" applyAlignment="1">
      <alignment horizontal="center" vertical="center" wrapText="1"/>
    </xf>
    <xf numFmtId="2" fontId="6" fillId="0" borderId="3" xfId="0" applyNumberFormat="1" applyFont="1" applyBorder="1" applyAlignment="1">
      <alignment horizontal="center" vertical="top" wrapText="1"/>
    </xf>
    <xf numFmtId="166" fontId="38" fillId="4" borderId="3" xfId="0" applyNumberFormat="1" applyFont="1" applyFill="1" applyBorder="1" applyAlignment="1">
      <alignment horizontal="center" vertical="center" wrapText="1"/>
    </xf>
    <xf numFmtId="0" fontId="35" fillId="0" borderId="3" xfId="0" applyFont="1" applyBorder="1" applyAlignment="1">
      <alignment horizontal="center" vertical="center" wrapText="1"/>
    </xf>
    <xf numFmtId="0" fontId="35" fillId="4" borderId="3" xfId="0" applyFont="1" applyFill="1" applyBorder="1" applyAlignment="1">
      <alignment horizontal="left" vertical="top" wrapText="1"/>
    </xf>
    <xf numFmtId="0" fontId="6" fillId="0" borderId="3" xfId="0" applyFont="1" applyBorder="1" applyAlignment="1">
      <alignment horizontal="center" vertical="center" wrapText="1"/>
    </xf>
    <xf numFmtId="0" fontId="39" fillId="14" borderId="3" xfId="0" applyFont="1" applyFill="1" applyBorder="1" applyAlignment="1">
      <alignment horizontal="center" vertical="center" wrapText="1"/>
    </xf>
    <xf numFmtId="0" fontId="40" fillId="4" borderId="3" xfId="0" applyFont="1" applyFill="1" applyBorder="1" applyAlignment="1">
      <alignment horizontal="left" vertical="top" wrapText="1"/>
    </xf>
    <xf numFmtId="164" fontId="2" fillId="2" borderId="9" xfId="0" applyNumberFormat="1" applyFont="1" applyFill="1" applyBorder="1" applyAlignment="1">
      <alignment horizontal="center" vertical="center" wrapText="1"/>
    </xf>
    <xf numFmtId="0" fontId="2" fillId="12" borderId="1" xfId="0" applyFont="1" applyFill="1" applyBorder="1" applyAlignment="1">
      <alignment horizontal="center" vertical="center" wrapText="1"/>
    </xf>
    <xf numFmtId="0" fontId="41" fillId="0" borderId="3" xfId="0" applyFont="1" applyBorder="1" applyAlignment="1">
      <alignment horizontal="left" vertical="top" wrapText="1"/>
    </xf>
    <xf numFmtId="0" fontId="35" fillId="0" borderId="3" xfId="0" applyFont="1" applyBorder="1" applyAlignment="1">
      <alignment horizontal="left" vertical="top" wrapText="1"/>
    </xf>
    <xf numFmtId="166" fontId="35" fillId="4" borderId="3" xfId="0" applyNumberFormat="1" applyFont="1" applyFill="1" applyBorder="1" applyAlignment="1">
      <alignment horizontal="center" vertical="center" wrapText="1"/>
    </xf>
    <xf numFmtId="0" fontId="42" fillId="4" borderId="3" xfId="0" applyFont="1" applyFill="1" applyBorder="1" applyAlignment="1">
      <alignment horizontal="left" vertical="top" wrapText="1"/>
    </xf>
    <xf numFmtId="2" fontId="35" fillId="0" borderId="3" xfId="0" applyNumberFormat="1" applyFont="1" applyBorder="1" applyAlignment="1">
      <alignment horizontal="center" vertical="top" wrapText="1"/>
    </xf>
    <xf numFmtId="0" fontId="2" fillId="9" borderId="7" xfId="0" applyFont="1" applyFill="1" applyBorder="1" applyAlignment="1">
      <alignment horizontal="center" vertical="center" wrapText="1"/>
    </xf>
    <xf numFmtId="0" fontId="33" fillId="9" borderId="8" xfId="0" applyFont="1" applyFill="1" applyBorder="1" applyAlignment="1">
      <alignment horizontal="center" vertical="center" wrapText="1"/>
    </xf>
    <xf numFmtId="0" fontId="43" fillId="4" borderId="3" xfId="0" applyFont="1" applyFill="1" applyBorder="1" applyAlignment="1">
      <alignment horizontal="left" vertical="top" wrapText="1"/>
    </xf>
    <xf numFmtId="0" fontId="2" fillId="10" borderId="7" xfId="0" applyFont="1" applyFill="1" applyBorder="1" applyAlignment="1">
      <alignment horizontal="center" vertical="center" wrapText="1"/>
    </xf>
    <xf numFmtId="0" fontId="33" fillId="10" borderId="8" xfId="0" applyFont="1" applyFill="1" applyBorder="1" applyAlignment="1">
      <alignment horizontal="center" vertical="center" wrapText="1"/>
    </xf>
    <xf numFmtId="0" fontId="2" fillId="10" borderId="9" xfId="0" applyFont="1" applyFill="1" applyBorder="1" applyAlignment="1">
      <alignment horizontal="center" vertical="center" wrapText="1"/>
    </xf>
    <xf numFmtId="166" fontId="44" fillId="4" borderId="3" xfId="0" applyNumberFormat="1" applyFont="1" applyFill="1" applyBorder="1" applyAlignment="1">
      <alignment horizontal="center" vertical="center" wrapText="1"/>
    </xf>
    <xf numFmtId="166" fontId="6" fillId="4" borderId="3" xfId="0" applyNumberFormat="1" applyFont="1" applyFill="1" applyBorder="1" applyAlignment="1">
      <alignment horizontal="center" vertical="center" wrapText="1"/>
    </xf>
    <xf numFmtId="0" fontId="35" fillId="8" borderId="3" xfId="0" applyFont="1" applyFill="1" applyBorder="1" applyAlignment="1">
      <alignment horizontal="left" vertical="top" wrapText="1"/>
    </xf>
    <xf numFmtId="0" fontId="45" fillId="4" borderId="3" xfId="0" applyFont="1" applyFill="1" applyBorder="1" applyAlignment="1">
      <alignment horizontal="left" vertical="top" wrapText="1"/>
    </xf>
    <xf numFmtId="166" fontId="38" fillId="4" borderId="4" xfId="0" applyNumberFormat="1" applyFont="1" applyFill="1" applyBorder="1" applyAlignment="1">
      <alignment horizontal="center" vertical="center" wrapText="1"/>
    </xf>
    <xf numFmtId="0" fontId="35" fillId="4" borderId="5" xfId="0" applyFont="1" applyFill="1" applyBorder="1" applyAlignment="1">
      <alignment horizontal="left" vertical="top" wrapText="1"/>
    </xf>
    <xf numFmtId="0" fontId="39" fillId="0" borderId="3" xfId="0" applyFont="1" applyBorder="1" applyAlignment="1">
      <alignment horizontal="left" vertical="top" wrapText="1"/>
    </xf>
    <xf numFmtId="0" fontId="46" fillId="4" borderId="5" xfId="0" applyFont="1" applyFill="1" applyBorder="1" applyAlignment="1">
      <alignment horizontal="left" vertical="top" wrapText="1"/>
    </xf>
    <xf numFmtId="0" fontId="2" fillId="7" borderId="7" xfId="0" applyFont="1" applyFill="1" applyBorder="1" applyAlignment="1">
      <alignment horizontal="center" vertical="center" wrapText="1"/>
    </xf>
    <xf numFmtId="0" fontId="33" fillId="7" borderId="8" xfId="0" applyFont="1" applyFill="1" applyBorder="1" applyAlignment="1">
      <alignment horizontal="center" vertical="center" wrapText="1"/>
    </xf>
    <xf numFmtId="0" fontId="47" fillId="4" borderId="3" xfId="0" applyFont="1" applyFill="1" applyBorder="1" applyAlignment="1">
      <alignment horizontal="left" vertical="top" wrapText="1"/>
    </xf>
    <xf numFmtId="0" fontId="48" fillId="4" borderId="3" xfId="0" applyFont="1" applyFill="1" applyBorder="1" applyAlignment="1">
      <alignment horizontal="left" vertical="top" wrapText="1"/>
    </xf>
    <xf numFmtId="0" fontId="48" fillId="8" borderId="3" xfId="0" applyFont="1" applyFill="1" applyBorder="1" applyAlignment="1">
      <alignment horizontal="left" vertical="top" wrapText="1"/>
    </xf>
    <xf numFmtId="0" fontId="6" fillId="12" borderId="0" xfId="0" applyFont="1" applyFill="1" applyAlignment="1">
      <alignment wrapText="1"/>
    </xf>
    <xf numFmtId="0" fontId="2" fillId="14"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right" vertical="center" wrapText="1"/>
    </xf>
    <xf numFmtId="0" fontId="6" fillId="12" borderId="3" xfId="0" applyFont="1" applyFill="1" applyBorder="1" applyAlignment="1">
      <alignment vertical="center" wrapText="1"/>
    </xf>
    <xf numFmtId="0" fontId="6" fillId="14" borderId="3" xfId="0" applyFont="1" applyFill="1" applyBorder="1" applyAlignment="1">
      <alignment vertical="center" wrapText="1"/>
    </xf>
    <xf numFmtId="0" fontId="6" fillId="0" borderId="3" xfId="0" applyFont="1" applyBorder="1" applyAlignment="1">
      <alignment horizontal="left" vertical="top" wrapText="1"/>
    </xf>
    <xf numFmtId="166" fontId="6" fillId="0" borderId="3" xfId="0" applyNumberFormat="1" applyFont="1" applyBorder="1" applyAlignment="1">
      <alignment horizontal="right" vertical="center" wrapText="1"/>
    </xf>
    <xf numFmtId="2" fontId="6" fillId="0" borderId="3" xfId="0" applyNumberFormat="1" applyFont="1" applyBorder="1" applyAlignment="1">
      <alignment horizontal="right" vertical="center" wrapText="1"/>
    </xf>
    <xf numFmtId="166" fontId="6" fillId="0" borderId="3" xfId="0" applyNumberFormat="1" applyFont="1" applyBorder="1" applyAlignment="1">
      <alignment vertical="center" wrapText="1"/>
    </xf>
    <xf numFmtId="0" fontId="6" fillId="0" borderId="3" xfId="0" applyFont="1" applyBorder="1" applyAlignment="1">
      <alignment vertical="center" wrapText="1"/>
    </xf>
    <xf numFmtId="0" fontId="6" fillId="0" borderId="0" xfId="0" applyFont="1" applyAlignment="1">
      <alignment horizontal="center" vertical="center" wrapText="1"/>
    </xf>
    <xf numFmtId="3" fontId="6" fillId="0" borderId="10" xfId="0" applyNumberFormat="1" applyFont="1" applyBorder="1" applyAlignment="1">
      <alignment horizontal="center" vertical="top" wrapText="1"/>
    </xf>
    <xf numFmtId="0" fontId="2" fillId="5" borderId="3" xfId="0" applyFont="1" applyFill="1" applyBorder="1" applyAlignment="1">
      <alignment horizontal="center" vertical="center" wrapText="1"/>
    </xf>
    <xf numFmtId="0" fontId="2" fillId="5" borderId="3" xfId="0" applyFont="1" applyFill="1" applyBorder="1" applyAlignment="1">
      <alignment horizontal="right" vertical="center" wrapText="1"/>
    </xf>
    <xf numFmtId="0" fontId="6" fillId="14" borderId="3" xfId="0" applyFont="1" applyFill="1" applyBorder="1" applyAlignment="1">
      <alignment horizontal="center" vertical="center" wrapText="1"/>
    </xf>
    <xf numFmtId="0" fontId="36" fillId="0" borderId="3" xfId="0" applyFont="1" applyBorder="1" applyAlignment="1">
      <alignment vertical="top" wrapText="1"/>
    </xf>
    <xf numFmtId="0" fontId="35" fillId="4" borderId="3" xfId="0" applyFont="1" applyFill="1" applyBorder="1" applyAlignment="1">
      <alignment vertical="top" wrapText="1"/>
    </xf>
    <xf numFmtId="166" fontId="6" fillId="0" borderId="3" xfId="0" applyNumberFormat="1" applyFont="1" applyBorder="1" applyAlignment="1">
      <alignment horizontal="center" vertical="center" wrapText="1"/>
    </xf>
    <xf numFmtId="165" fontId="6" fillId="0" borderId="3" xfId="0" applyNumberFormat="1" applyFont="1" applyBorder="1" applyAlignment="1">
      <alignment vertical="top" wrapText="1"/>
    </xf>
    <xf numFmtId="165" fontId="6" fillId="0" borderId="3" xfId="0" applyNumberFormat="1" applyFont="1" applyBorder="1" applyAlignment="1">
      <alignment horizontal="center" vertical="center" wrapText="1"/>
    </xf>
    <xf numFmtId="0" fontId="6" fillId="0" borderId="3" xfId="0" applyFont="1" applyBorder="1" applyAlignment="1">
      <alignment horizontal="left" vertical="center" wrapText="1"/>
    </xf>
    <xf numFmtId="0" fontId="6" fillId="0" borderId="0" xfId="0" applyFont="1" applyAlignment="1">
      <alignment vertical="top" wrapText="1"/>
    </xf>
    <xf numFmtId="0" fontId="6" fillId="0" borderId="3" xfId="0" applyFont="1" applyBorder="1" applyAlignment="1">
      <alignment vertical="top" wrapText="1"/>
    </xf>
    <xf numFmtId="0" fontId="35" fillId="4" borderId="3" xfId="0" applyFont="1" applyFill="1" applyBorder="1" applyAlignment="1">
      <alignment horizontal="left" vertical="center" wrapText="1"/>
    </xf>
    <xf numFmtId="0" fontId="6" fillId="4" borderId="3" xfId="0" applyFont="1" applyFill="1" applyBorder="1" applyAlignment="1">
      <alignment vertical="top" wrapText="1"/>
    </xf>
    <xf numFmtId="0" fontId="6" fillId="4" borderId="3" xfId="0" applyFont="1" applyFill="1" applyBorder="1" applyAlignment="1">
      <alignment vertical="center" wrapText="1"/>
    </xf>
    <xf numFmtId="0" fontId="35" fillId="4" borderId="0" xfId="0" applyFont="1" applyFill="1" applyAlignment="1">
      <alignment vertical="top" wrapText="1"/>
    </xf>
    <xf numFmtId="0" fontId="2" fillId="12" borderId="11" xfId="0" applyFont="1" applyFill="1" applyBorder="1" applyAlignment="1">
      <alignment horizontal="center" wrapText="1"/>
    </xf>
    <xf numFmtId="0" fontId="0" fillId="0" borderId="12" xfId="0" applyBorder="1"/>
    <xf numFmtId="0" fontId="2" fillId="0" borderId="3" xfId="0" applyFont="1" applyBorder="1" applyAlignment="1">
      <alignment horizontal="left" vertical="center" wrapText="1"/>
    </xf>
    <xf numFmtId="0" fontId="0" fillId="0" borderId="2" xfId="0" applyBorder="1"/>
    <xf numFmtId="0" fontId="0" fillId="0" borderId="5" xfId="0" applyBorder="1"/>
    <xf numFmtId="0" fontId="24" fillId="12" borderId="3"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xf numFmtId="0" fontId="2" fillId="12" borderId="3" xfId="0" applyFont="1" applyFill="1" applyBorder="1" applyAlignment="1">
      <alignment horizontal="left" vertical="center" wrapText="1"/>
    </xf>
    <xf numFmtId="0" fontId="2" fillId="12" borderId="3" xfId="0" applyFont="1" applyFill="1" applyBorder="1" applyAlignment="1">
      <alignment horizontal="center" vertical="center" wrapText="1"/>
    </xf>
    <xf numFmtId="0" fontId="35" fillId="14" borderId="3" xfId="0" applyFont="1" applyFill="1" applyBorder="1" applyAlignment="1">
      <alignment horizontal="center" vertical="center" wrapText="1"/>
    </xf>
    <xf numFmtId="0" fontId="0" fillId="0" borderId="10" xfId="0" applyBorder="1"/>
    <xf numFmtId="166" fontId="35" fillId="0" borderId="3" xfId="0" applyNumberFormat="1" applyFont="1" applyBorder="1" applyAlignment="1">
      <alignment horizontal="center" vertical="center" wrapText="1"/>
    </xf>
    <xf numFmtId="0" fontId="35" fillId="0" borderId="3" xfId="0" applyFont="1" applyBorder="1" applyAlignment="1">
      <alignment horizontal="left" vertical="top" wrapText="1"/>
    </xf>
    <xf numFmtId="0" fontId="2" fillId="11"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12</xdr:row>
      <xdr:rowOff>962025</xdr:rowOff>
    </xdr:from>
    <xdr:ext cx="1238250" cy="1238250"/>
    <xdr:pic>
      <xdr:nvPicPr>
        <xdr:cNvPr id="4" name="image27.png" title="Imagen">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76200</xdr:colOff>
      <xdr:row>12</xdr:row>
      <xdr:rowOff>962025</xdr:rowOff>
    </xdr:from>
    <xdr:ext cx="1238250" cy="1238250"/>
    <xdr:pic>
      <xdr:nvPicPr>
        <xdr:cNvPr id="5" name="image27.png" title="Imagen">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compulago.com/producto/torre-clon-1-cpu-core-i3-8-gb-ssd-500-gb-2302475318/" TargetMode="External"/><Relationship Id="rId2" Type="http://schemas.openxmlformats.org/officeDocument/2006/relationships/hyperlink" Target="https://www.amazon.com/-/es/Ordenador-escritorio-HP-negocios-inal%C3%A1mbrico/dp/B07XJQRMZF/ref=sr_1_1?adgrpid=145150703719&amp;dib=eyJ2IjoiMSJ9.mDKhCrZomc09xTpYvroMpa45osBLH1F2iPPiS0Z5lWdNssvoNj_UOsa_8aAMLjklExZBGJaDN_xdeBCntzqXCbi4dA-ngS89Jqw0Z63n5f6n24Meph4g7F3y0z_B1SNxS6Cth-k1tT2Kp5Fr1KdQHYwVsa2Yc4gnBi1ggjldbSd1UKmTXZNScu6WLqH24BTPsVpYea0mC4TuAHmKf3ibU4GaZ99W3XG3bWcSRSP5dWc.U2KiDtebv3lSpGswjXmzWlWoU19pQPS-QyLY_9ezxQk&amp;dib_tag=se&amp;hvadid=647438321441&amp;hvdev=c&amp;hvlocphy=9235617&amp;hvnetw=g&amp;hvqmt=e&amp;hvrand=15767104720465624043&amp;hvtargid=kwd-303743812515&amp;hydadcr=1188_1015033233&amp;keywords=torre+de+pc+precio&amp;mcid=41f98c51ec5a3c359f61116f6c49de4d&amp;qid=1788438860&amp;sr=8-1" TargetMode="External"/><Relationship Id="rId1" Type="http://schemas.openxmlformats.org/officeDocument/2006/relationships/hyperlink" Target="https://www.mercadolibre.com.co/pc-cpu-hp-dell-lenovo-intel-core-i7-4ta-gen-gen-16-ram-torre/up/MCOU339631636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homecenter.com.co/homecenter-co/product/777938/monitor-24-led-fhd-ips-100hz-pantalla-gamer-slim-sin-bordes/777938/" TargetMode="External"/><Relationship Id="rId2" Type="http://schemas.openxmlformats.org/officeDocument/2006/relationships/hyperlink" Target="https://www.alkosto.com/monitor-samsung-24-pulgadas-ls24f330-fhd-plano-negro/p/198957224393" TargetMode="External"/><Relationship Id="rId1" Type="http://schemas.openxmlformats.org/officeDocument/2006/relationships/hyperlink" Target="https://www.mercadolibre.com.co/monitor-gamer--aoc-24-pulgadas-ips-100hz-bordes-delgados/up/MCOU295974304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mercadolibre.com.co/disco-solido-interno-adata-ultimate-su650-asu650ss-480gt-r-480gb-negro/p/MCO15749700" TargetMode="External"/><Relationship Id="rId2" Type="http://schemas.openxmlformats.org/officeDocument/2006/relationships/hyperlink" Target="https://www.mercadolibre.com.co/disco-duro-solido-ssd-120gb-kingston-sata-6gbs-550450mb12-negro/p/MCO22369722?pdp_filters=item_id%3AMCO3078974568" TargetMode="External"/><Relationship Id="rId1" Type="http://schemas.openxmlformats.org/officeDocument/2006/relationships/hyperlink" Target="https://www.mercadolibre.com.co/disco-solido-ssd-interno-adata-ultimate-su650-asu650ss-512gt-r-512gb/p/MCO3533986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mpulago.com/producto/hpe-proliant-ml30-gen10-plus-server-p44719-001-2323-03350081/" TargetMode="External"/><Relationship Id="rId2" Type="http://schemas.openxmlformats.org/officeDocument/2006/relationships/hyperlink" Target="https://www.mercadolibre.com.co/servidor-hpe-proliant-microserver-gen11-xeon-6325p-16gb-2tb/up/MCOU3942682101" TargetMode="External"/><Relationship Id="rId1" Type="http://schemas.openxmlformats.org/officeDocument/2006/relationships/hyperlink" Target="https://www.distrisantcolombia.com/product-page/servidor-hpe-proliant-dl380-gen10-2x-xeon-gold-6136-ram-64gb-ddr4-ssd-800gb"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155554437/disco-duro-solido-ssd-240gb-crucial-bx500/155554438" TargetMode="External"/><Relationship Id="rId2" Type="http://schemas.openxmlformats.org/officeDocument/2006/relationships/hyperlink" Target="https://www.falabella.com.co/falabella-co/product/124164038/Disco-solido-ssd-crucial-bx500-2.5-240gb-+-adapta/124164040" TargetMode="External"/><Relationship Id="rId1" Type="http://schemas.openxmlformats.org/officeDocument/2006/relationships/hyperlink" Targe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mercadolibre.com.co/patriot-viper-steel-rgb-ddr4-ram-16-gb-3200-mts-para-juegos/p/MCO2089828518?matt_tool=19390127&amp;utm_source=google_shopping&amp;utm_medium=organic&amp;pdp_filters=item_id%3AMCO4082933306&amp;from=gshop" TargetMode="External"/><Relationship Id="rId2" Type="http://schemas.openxmlformats.org/officeDocument/2006/relationships/hyperlink" Target="https://speedlogic.com.co/tienda/memorias-ram/memoria-ram-para-pc-ddr4-8gb-3200mhz-viper-patriot-steel-rgb/?srsltid=AfmBOorbPE-ux2shn3tPrTMHGdXb6wOdOjeh9fhSYLgA5W2i5Iau0JEulq4" TargetMode="External"/><Relationship Id="rId1" Type="http://schemas.openxmlformats.org/officeDocument/2006/relationships/hyperlink" Target="https://tauretcomputadores.com/product/memoria-ram-portatil-adata-gold-ddr4-16gb-3200mhz-oem?srsltid=AfmBOoqtAOg9eOGuqvDjHu_CyQItCQ-kMwkrDfPWv_PS73TkyR3bsyV7iZ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mercadolibre.com.co/teclado-gamer-trust-gtx-833-tkl-blanco-mecanico-rgb-usb-espanol/p/MCO37037697?matt_tool=19390127&amp;utm_source=google_shopping&amp;utm_medium=organic&amp;pdp_filters=item_id%3AMCO2673888042&amp;from=gshop" TargetMode="External"/><Relationship Id="rId2" Type="http://schemas.openxmlformats.org/officeDocument/2006/relationships/hyperlink" Target="https://www.exito.com/kit-de-teclado-y-mouse-logitech-mk120-102786014-mp/p?idsku=102786014&amp;srsltid=AfmBOorqVDMEKx6R4M6xpA2GSp838-eOk2tUe9Z6NbTtKcP0ZPA8h2K4-sM" TargetMode="External"/><Relationship Id="rId1" Type="http://schemas.openxmlformats.org/officeDocument/2006/relationships/hyperlink" Target="https://www.falabella.com.co/falabella-co/product/153239857/combo-bluetooth-logitech-mk250-teclado-y-mouse-compactos-mouse-negro-teclado-negro/153239858"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exito.com/mouse-con-cable-usb-rueda-scroll-optico-negro-para-pc-102343582-mp/p?idsku=102343582&amp;srsltid=AfmBOoq7cq1T9DT8uSo51giO809McKA4CudTJQ9Q2JC7UPwvNBTvXyKWjNc" TargetMode="External"/><Relationship Id="rId2" Type="http://schemas.openxmlformats.org/officeDocument/2006/relationships/hyperlink" Target="https://www.exito.com/mouse-gamer-de-juego-negro-computador-mouses-teclados-103740758-mp/p?idsku=103740758&amp;srsltid=AfmBOorJJKuOCQ03gkgCHRr6vZPljyl7fodPQYAamROBXRGZ6Ow7TT0IZT8" TargetMode="External"/><Relationship Id="rId1" Type="http://schemas.openxmlformats.org/officeDocument/2006/relationships/hyperlink" Target="https://www.panamericana.com.co/mouse-inalambrica-maxell-mowl-100-negro-678737/p?idsku=678737&amp;srsltid=AfmBOooP69wv8oSmK6eLYkttqe4qDEqiwSaI2q0UkC8pzqmkXn6dpKIWMIw"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ktronix.com/computador-portatil-hp-pavilion-156-pulgadas-eg2526la-intel-core-i5-ram-8gb-disco-ssd-512gb-azul/p/198122317813" TargetMode="External"/><Relationship Id="rId2" Type="http://schemas.openxmlformats.org/officeDocument/2006/relationships/hyperlink" Target="https://www.alkosto.com/computador-portatil-asus-vivobook-156-pulgadas-x1504za-intel-core-i5-ram-8gb-disco-ssd-512-gb-azul/p/4711387276068" TargetMode="External"/><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alabella.com.co/falabella-co/product/121185313/DISCO-DURO-DE-2-TERAS-WESTER-DIGITAL,-SEAGATE,-HITACHI./121185314" TargetMode="External"/><Relationship Id="rId2" Type="http://schemas.openxmlformats.org/officeDocument/2006/relationships/hyperlink" Target="https://www.falabella.com.co/falabella-co/product/140107283/DISCO-DURO-DE-3-TERAS-PULL-WESTER-DIGITAL,-HITACHI,-HGST-Y-MAS-DVR/140107284" TargetMode="External"/><Relationship Id="rId1" Type="http://schemas.openxmlformats.org/officeDocument/2006/relationships/hyperlink" Targe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mercadolibre.com.co/servidor-lenovo-thinkserver-ts440-xeon-ram-16gb-600gbx2-sas/up/MCOU3051483357" TargetMode="External"/><Relationship Id="rId2" Type="http://schemas.openxmlformats.org/officeDocument/2006/relationships/hyperlink" Target="https://clonesyperifericos.com/comprar/procesador-amd-ryzen-5-9600-am5-5-2-ghz/" TargetMode="External"/><Relationship Id="rId1" Type="http://schemas.openxmlformats.org/officeDocument/2006/relationships/hyperlink" Target="https://www.distrisantcolombia.com/product-page/servidor-hpe-proliant-dl380-gen10-2x-xeon-gold-6136-ram-64gb-ddr4-ssd-800gb"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gamerscolombia.com/collections/modulos-ram?utm_source=chatgpt.com" TargetMode="External"/><Relationship Id="rId2" Type="http://schemas.openxmlformats.org/officeDocument/2006/relationships/hyperlink" Target="https://gamerscolombia.com/products/memoria-adata-16gb-ddr5-5600mhz-para-portatil-alto-rendimiento-bajo-consumo-compatible-con-laptops-ddr5-copia" TargetMode="External"/><Relationship Id="rId1" Type="http://schemas.openxmlformats.org/officeDocument/2006/relationships/hyperlink" Target="https://mpcstore.co/disco-solido-ssd-adata-su650-sata-de-256-gb-6gbs" TargetMode="External"/><Relationship Id="rId5" Type="http://schemas.openxmlformats.org/officeDocument/2006/relationships/hyperlink" Target="https://speedlogic.com.co/categoria/ofertas/?utm_source=chatgpt.com" TargetMode="External"/><Relationship Id="rId4" Type="http://schemas.openxmlformats.org/officeDocument/2006/relationships/hyperlink" Target="https://speedlogic.com.co/tienda/memorias-ram/memoria-ram-ddr4-8g-3200-corsair-vengeance-rgb-r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enjoyvideogames.com.co/product/tarjeta-de-video-xfx-swift-amd-radeon-rx-9060-xt-16gb-oc/" TargetMode="External"/><Relationship Id="rId2" Type="http://schemas.openxmlformats.org/officeDocument/2006/relationships/hyperlink" Target="https://speedlogic.com.co/tienda/tarjetas-graficas/nvidia/tarjeta-de-video-nvidia-geforce-asus-rtx-3050-dual-oc-auto-ex-6-gigas/?add-to-cart=40753&amp;utm_source=chatgpt.com" TargetMode="External"/><Relationship Id="rId1" Type="http://schemas.openxmlformats.org/officeDocument/2006/relationships/hyperlink" Target="https://speedlogic.com.co/tienda/tarjetas-graficas/nvidia/tarjeta-de-video-nvidia-geforce-asus-rtx-3050-dual-oc-auto-ex-6-gigas/" TargetMode="External"/><Relationship Id="rId6" Type="http://schemas.openxmlformats.org/officeDocument/2006/relationships/hyperlink" Target="https://enjoyvideogames.com.co/tienda/page/91/?per_page=18&amp;per_row=4&amp;shop_view=list&amp;utm_source=chatgpt.com" TargetMode="External"/><Relationship Id="rId5" Type="http://schemas.openxmlformats.org/officeDocument/2006/relationships/hyperlink" Target="https://enjoyvideogames.com.co/product/tarjeta-de-video-onix-odyssey-arc-b580-12gb/" TargetMode="External"/><Relationship Id="rId4" Type="http://schemas.openxmlformats.org/officeDocument/2006/relationships/hyperlink" Target="https://enjoyvideogames.com.co/product/tarjeta-de-video-xfx-swift-amd-radeon-rx-9060-xt-16gb-oc-gaming-edition/?utm_source=chatgpt.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clonesyperifericos.com/comprar/intel-core-ultra-9-285k-unlocked-series-2/" TargetMode="External"/><Relationship Id="rId2" Type="http://schemas.openxmlformats.org/officeDocument/2006/relationships/hyperlink" Target="https://clonesyperifericos.com/comprar/procesador-amd-ryzen-5-9600-am5-5-2-ghz/" TargetMode="External"/><Relationship Id="rId1" Type="http://schemas.openxmlformats.org/officeDocument/2006/relationships/hyperlink" Target="https://clonesyperifericos.com/comprar/procesador-amd-ryzen-7-5800xt/"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revolutionsoft.com.co/windows-11/windows-11-enterprise.html" TargetMode="External"/><Relationship Id="rId2" Type="http://schemas.openxmlformats.org/officeDocument/2006/relationships/hyperlink" Target="https://pricehistory.app/p/windows-11-pro-upgrade-from-windows-11-j8M8zrmb" TargetMode="External"/><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 TargetMode="External"/><Relationship Id="rId6" Type="http://schemas.openxmlformats.org/officeDocument/2006/relationships/hyperlink" Target="https://revolutionsoft.com.co/windows-11/windows-11-enterprise.html" TargetMode="External"/><Relationship Id="rId5" Type="http://schemas.openxmlformats.org/officeDocument/2006/relationships/hyperlink" Targe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 TargetMode="External"/><Relationship Id="rId4" Type="http://schemas.openxmlformats.org/officeDocument/2006/relationships/hyperlink" Target="https://revolutionsoft.com.co/windows-11/windows-11-enterprise.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gamers-outlet.net/es/buy-microsoft-visual-studio-2022-professional-cd-key-global?currency=USD&amp;gad_source=1&amp;gad_campaignid=21077601274&amp;gbraid=0AAAAApPugwEf4e5wuC5UdOoccU912669O&amp;gclid=CjwKCAjwy5rUBhB5EiwAIoAtCnNaC_5lgwIjeZR_W4-VCg97gDp3TpyOen3azvQEMlJr4ypsUb2dDRoCF2IQAvD_BwE" TargetMode="External"/><Relationship Id="rId7" Type="http://schemas.openxmlformats.org/officeDocument/2006/relationships/drawing" Target="../drawings/drawing1.xml"/><Relationship Id="rId2" Type="http://schemas.openxmlformats.org/officeDocument/2006/relationships/hyperlink" Target="https://revolutionsoft.com.co/programacion/" TargetMode="External"/><Relationship Id="rId1" Type="http://schemas.openxmlformats.org/officeDocument/2006/relationships/hyperlink" Target="https://revolutionsoft.com.co/programacion/microsoft-visual-studio-2022-professional.html?gad_source=1&amp;gad_campaignid=23455508345&amp;gbraid=0AAAAAp0tsekNsoQ9g1HLRK3lgQ6Z5BgZy&amp;gclid=CjwKCAjwy5rUBhB5EiwAIoAtCtwvD8h_etVSEIDIbbFJziE93mQH-R7brRPkH-WAGHdadz1xQKLNMRoC8FwQAvD_BwE" TargetMode="External"/><Relationship Id="rId6" Type="http://schemas.openxmlformats.org/officeDocument/2006/relationships/hyperlink" Target="https://www.gamers-outlet.net/es/software/microsoft-visual-studio-products" TargetMode="External"/><Relationship Id="rId5" Type="http://schemas.openxmlformats.org/officeDocument/2006/relationships/hyperlink" Target="https://www.gamers-outlet.net/es/buy-microsoft-visual-studio-2019-professional-cd-key-global?currency=USD&amp;gad_source=1&amp;gad_campaignid=21077601274&amp;gbraid=0AAAAApPugwEf4e5wuC5UdOoccU912669O&amp;gclid=CjwKCAjwy5rUBhB5EiwAIoAtCjTTTOOywVtTrgjyK3r1ZMVr_xN33f6vGnuMb5FCcO9RQ7bd5ch9dRoCK68QAvD_BwE" TargetMode="External"/><Relationship Id="rId4" Type="http://schemas.openxmlformats.org/officeDocument/2006/relationships/hyperlink" Target="https://www.gamers-outlet.net/es/software/buy-microsoft-visual-studio-2022-professional-cd-key-global"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latiendadelaslicencias.com/es/office-2024/windows-11-pro-office-2024-pro-plus.html?utm_source=chatgpt.com" TargetMode="External"/><Relationship Id="rId2" Type="http://schemas.openxmlformats.org/officeDocument/2006/relationships/hyperlink" Targe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 TargetMode="External"/><Relationship Id="rId1" Type="http://schemas.openxmlformats.org/officeDocument/2006/relationships/hyperlink" Targe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 TargetMode="External"/><Relationship Id="rId4" Type="http://schemas.openxmlformats.org/officeDocument/2006/relationships/hyperlink" Targe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latinkeys.com/colombia/producto/sql-server-2022-enterprise" TargetMode="External"/><Relationship Id="rId3" Type="http://schemas.openxmlformats.org/officeDocument/2006/relationships/hyperlink" Target="https://revolutionsoft.net/es/microsoft-sql-server?utm_source=chatgpt.com" TargetMode="External"/><Relationship Id="rId7" Type="http://schemas.openxmlformats.org/officeDocument/2006/relationships/hyperlink" Target="https://latinkeys.com/colombia/producto/sql-server-2022-enterprise/" TargetMode="External"/><Relationship Id="rId2" Type="http://schemas.openxmlformats.org/officeDocument/2006/relationships/hyperlink" Target="https://revolutionsoft.net/es/microsoft-sql-server?utm_source=chatgpt.com" TargetMode="External"/><Relationship Id="rId1" Type="http://schemas.openxmlformats.org/officeDocument/2006/relationships/hyperlink" Target="https://revolutionsoft.com.co/windows-server/sql-server-2022-standard.html?gad_source=1&amp;gad_campaignid=23455508345&amp;gbraid=0AAAAAp0tsekNsoQ9g1HLRK3lgQ6Z5BgZy&amp;gclid=CjwKCAjwy5rUBhB5EiwAIoAtCnS-ZZMuAUAXH-C_vooJMoNlOOv6OZ_xulp6eimw7R9wBF3AwLGW7BoC2ykQAvD_BwE" TargetMode="External"/><Relationship Id="rId6" Type="http://schemas.openxmlformats.org/officeDocument/2006/relationships/hyperlink" Target="https://www.gamers-outlet.net/es/buy-microsoft-sql-server-standard-2019-cd-key-global" TargetMode="External"/><Relationship Id="rId5" Type="http://schemas.openxmlformats.org/officeDocument/2006/relationships/hyperlink" Target="https://www.gamers-outlet.net/es/buy-microsoft-sql-server-standard-2019-cd-key-global" TargetMode="External"/><Relationship Id="rId4" Type="http://schemas.openxmlformats.org/officeDocument/2006/relationships/hyperlink" Target="https://www.gamers-outlet.net/es/buy-microsoft-sql-server-standard-2019-cd-key-global?currency=USD&amp;gad_source=1&amp;gad_campaignid=21077601274&amp;gbraid=0AAAAApPugwEf4e5wuC5UdOoccU912669O&amp;gclid=CjwKCAjwy5rUBhB5EiwAIoAtCmutFdLUyUNiE1cPFczj-jcwZiLU6QHBToKanf10F92_uDPnnbqSZRoC7l0QAvD_BwE" TargetMode="External"/><Relationship Id="rId9" Type="http://schemas.openxmlformats.org/officeDocument/2006/relationships/hyperlink" Target="https://latinkeys.com/colombia/producto/sql-server-2022-enterpris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movistar.com.co/pymes/soluciones-fibra" TargetMode="External"/><Relationship Id="rId3" Type="http://schemas.openxmlformats.org/officeDocument/2006/relationships/hyperlink" Target="https://www.clarocloud.com.co/servicios-profesionales/" TargetMode="External"/><Relationship Id="rId7" Type="http://schemas.openxmlformats.org/officeDocument/2006/relationships/hyperlink" Target="https://workspace.google.com/pricing?hl=es" TargetMode="External"/><Relationship Id="rId12" Type="http://schemas.openxmlformats.org/officeDocument/2006/relationships/hyperlink" Target="https://www.hostdime.com.co/vps-cloud" TargetMode="External"/><Relationship Id="rId2" Type="http://schemas.openxmlformats.org/officeDocument/2006/relationships/hyperlink" Target="https://aws.amazon.com/es/cloudfront/pricing/" TargetMode="External"/><Relationship Id="rId1" Type="http://schemas.openxmlformats.org/officeDocument/2006/relationships/hyperlink" Target="https://aws.amazon.com/es/cloudfront/pricing/" TargetMode="External"/><Relationship Id="rId6" Type="http://schemas.openxmlformats.org/officeDocument/2006/relationships/hyperlink" Target="https://aws.amazon.com/es/codecommit/pricing/?trk=ap_card" TargetMode="External"/><Relationship Id="rId11" Type="http://schemas.openxmlformats.org/officeDocument/2006/relationships/hyperlink" Target="https://www.triticus.com/es/18-microsoft-azure-?keyword=proveedor%20infraestructura%20cloud&amp;adposition=&amp;campaignid=653682718&amp;network=g&amp;matchtype=p&amp;gad_source=1&amp;gad_campaignid=653682718&amp;gbraid=0AAAAADQcm8U7UBaYgy1_JlTv6iMBlHtYK&amp;gclid=CjwKCAjwzNTUBhAjEiwA7zcvWt3WXCfJ8z-hNXv5qRohgTPWSZNS5dZj0mn5s1JqGIHkdm3dFFgpDBoCGJMQAvD_BwE" TargetMode="External"/><Relationship Id="rId5" Type="http://schemas.openxmlformats.org/officeDocument/2006/relationships/hyperlink" Target="https://www.clarocloud.com.co/productos/infraestructura/microsoft-azure/" TargetMode="External"/><Relationship Id="rId10" Type="http://schemas.openxmlformats.org/officeDocument/2006/relationships/hyperlink" Target="https://www.clarocloud.com.co/productos/infraestructura/amazon-web-services/" TargetMode="External"/><Relationship Id="rId4" Type="http://schemas.openxmlformats.org/officeDocument/2006/relationships/hyperlink" Target="https://cloud.google.com/storage" TargetMode="External"/><Relationship Id="rId9" Type="http://schemas.openxmlformats.org/officeDocument/2006/relationships/hyperlink" Target="https://aws.amazon.com/es/eventbridge/?did=ap_card&amp;trk=ap_c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2"/>
  <sheetViews>
    <sheetView zoomScale="60" zoomScaleNormal="60" workbookViewId="0">
      <selection activeCell="C2" sqref="C2"/>
    </sheetView>
  </sheetViews>
  <sheetFormatPr baseColWidth="10" defaultColWidth="12.5703125" defaultRowHeight="15" customHeight="1" x14ac:dyDescent="0.2"/>
  <cols>
    <col min="1" max="1" width="24.42578125" style="71" customWidth="1"/>
    <col min="2" max="2" width="74.140625" style="71" customWidth="1"/>
  </cols>
  <sheetData>
    <row r="1" spans="1:2" ht="39.75" customHeight="1" x14ac:dyDescent="0.25">
      <c r="A1" s="169" t="s">
        <v>0</v>
      </c>
      <c r="B1" s="170"/>
    </row>
    <row r="2" spans="1:2" ht="40.5" customHeight="1" x14ac:dyDescent="0.25">
      <c r="A2" s="78" t="s">
        <v>1</v>
      </c>
      <c r="B2" s="79" t="s">
        <v>2</v>
      </c>
    </row>
    <row r="3" spans="1:2" ht="20.25" customHeight="1" x14ac:dyDescent="0.25">
      <c r="A3" s="78" t="s">
        <v>3</v>
      </c>
      <c r="B3" s="79" t="s">
        <v>4</v>
      </c>
    </row>
    <row r="4" spans="1:2" ht="40.5" customHeight="1" x14ac:dyDescent="0.25">
      <c r="A4" s="78" t="s">
        <v>5</v>
      </c>
      <c r="B4" s="79" t="s">
        <v>6</v>
      </c>
    </row>
    <row r="5" spans="1:2" ht="40.5" customHeight="1" x14ac:dyDescent="0.25">
      <c r="A5" s="78" t="s">
        <v>7</v>
      </c>
      <c r="B5" s="80">
        <v>46278</v>
      </c>
    </row>
    <row r="6" spans="1:2" ht="20.25" customHeight="1" x14ac:dyDescent="0.25">
      <c r="A6" s="78" t="s">
        <v>8</v>
      </c>
      <c r="B6" s="79" t="s">
        <v>9</v>
      </c>
    </row>
    <row r="7" spans="1:2" ht="72.75" customHeight="1" x14ac:dyDescent="0.25">
      <c r="A7" s="78" t="s">
        <v>10</v>
      </c>
      <c r="B7" s="79" t="s">
        <v>11</v>
      </c>
    </row>
    <row r="8" spans="1:2" ht="75.75" customHeight="1" x14ac:dyDescent="0.25">
      <c r="A8" s="78" t="s">
        <v>12</v>
      </c>
      <c r="B8" s="79" t="s">
        <v>13</v>
      </c>
    </row>
    <row r="9" spans="1:2" ht="75.75" customHeight="1" x14ac:dyDescent="0.25">
      <c r="A9" s="78" t="s">
        <v>14</v>
      </c>
      <c r="B9" s="79" t="s">
        <v>15</v>
      </c>
    </row>
    <row r="10" spans="1:2" ht="57" customHeight="1" x14ac:dyDescent="0.25">
      <c r="A10" s="78" t="s">
        <v>16</v>
      </c>
      <c r="B10" s="79" t="s">
        <v>17</v>
      </c>
    </row>
    <row r="11" spans="1:2" ht="57" customHeight="1" x14ac:dyDescent="0.25">
      <c r="A11" s="78" t="s">
        <v>18</v>
      </c>
      <c r="B11" s="79" t="s">
        <v>19</v>
      </c>
    </row>
    <row r="12" spans="1:2" ht="60.75" customHeight="1" x14ac:dyDescent="0.25">
      <c r="A12" s="78" t="s">
        <v>20</v>
      </c>
      <c r="B12" s="79" t="s">
        <v>21</v>
      </c>
    </row>
    <row r="13" spans="1:2" ht="75.75" customHeight="1" x14ac:dyDescent="0.25">
      <c r="A13" s="78" t="s">
        <v>22</v>
      </c>
      <c r="B13" s="79" t="s">
        <v>23</v>
      </c>
    </row>
    <row r="14" spans="1:2" ht="57" customHeight="1" x14ac:dyDescent="0.25">
      <c r="A14" s="78" t="s">
        <v>24</v>
      </c>
      <c r="B14" s="79" t="s">
        <v>25</v>
      </c>
    </row>
    <row r="15" spans="1:2" ht="20.25" customHeight="1" x14ac:dyDescent="0.3">
      <c r="A15" s="5"/>
      <c r="B15" s="6"/>
    </row>
    <row r="16" spans="1:2" ht="12.75" x14ac:dyDescent="0.2"/>
    <row r="17" ht="12.75" x14ac:dyDescent="0.2"/>
    <row r="18" ht="12.75" x14ac:dyDescent="0.2"/>
    <row r="19" ht="12.75" x14ac:dyDescent="0.2"/>
    <row r="20" ht="12.75" x14ac:dyDescent="0.2"/>
    <row r="21" ht="12.75" x14ac:dyDescent="0.2"/>
    <row r="22" ht="12.75" x14ac:dyDescent="0.2"/>
    <row r="23" ht="12.75" x14ac:dyDescent="0.2"/>
    <row r="24" ht="12.75" x14ac:dyDescent="0.2"/>
    <row r="25" ht="12.75" x14ac:dyDescent="0.2"/>
    <row r="26" ht="12.75" x14ac:dyDescent="0.2"/>
    <row r="27" ht="12.75" x14ac:dyDescent="0.2"/>
    <row r="28" ht="12.75" x14ac:dyDescent="0.2"/>
    <row r="29" ht="12.75" x14ac:dyDescent="0.2"/>
    <row r="30" ht="12.75" x14ac:dyDescent="0.2"/>
    <row r="31" ht="12.75" x14ac:dyDescent="0.2"/>
    <row r="32" ht="12.75" x14ac:dyDescent="0.2"/>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zoomScale="70" zoomScaleNormal="70" workbookViewId="0">
      <selection sqref="A1:B20"/>
    </sheetView>
  </sheetViews>
  <sheetFormatPr baseColWidth="10" defaultColWidth="12.5703125" defaultRowHeight="15" customHeight="1" x14ac:dyDescent="0.2"/>
  <cols>
    <col min="1" max="1" width="23.140625" style="71" customWidth="1"/>
    <col min="2" max="2" width="66.140625" style="71" customWidth="1"/>
  </cols>
  <sheetData>
    <row r="1" spans="1:26" ht="35.25" customHeight="1" x14ac:dyDescent="0.25">
      <c r="A1" s="77" t="s">
        <v>26</v>
      </c>
      <c r="B1" s="44" t="s">
        <v>27</v>
      </c>
      <c r="C1" s="1"/>
      <c r="D1" s="1"/>
      <c r="E1" s="1"/>
      <c r="F1" s="1"/>
      <c r="G1" s="1"/>
      <c r="H1" s="1"/>
      <c r="I1" s="1"/>
      <c r="J1" s="1"/>
      <c r="K1" s="1"/>
      <c r="L1" s="1"/>
      <c r="M1" s="1"/>
      <c r="N1" s="1"/>
      <c r="O1" s="1"/>
      <c r="P1" s="1"/>
      <c r="Q1" s="1"/>
      <c r="R1" s="1"/>
      <c r="S1" s="1"/>
      <c r="T1" s="1"/>
      <c r="U1" s="1"/>
      <c r="V1" s="1"/>
      <c r="W1" s="1"/>
      <c r="X1" s="1"/>
      <c r="Y1" s="1"/>
      <c r="Z1" s="1"/>
    </row>
    <row r="2" spans="1:26" ht="75" customHeight="1" x14ac:dyDescent="0.25">
      <c r="A2" s="78" t="s">
        <v>28</v>
      </c>
      <c r="B2" s="81" t="s">
        <v>29</v>
      </c>
      <c r="C2" s="1"/>
      <c r="D2" s="1"/>
      <c r="E2" s="1"/>
      <c r="F2" s="1"/>
      <c r="G2" s="1"/>
      <c r="H2" s="1"/>
      <c r="I2" s="1"/>
      <c r="J2" s="1"/>
      <c r="K2" s="1"/>
      <c r="L2" s="1"/>
      <c r="M2" s="1"/>
      <c r="N2" s="1"/>
      <c r="O2" s="1"/>
      <c r="P2" s="1"/>
      <c r="Q2" s="1"/>
      <c r="R2" s="1"/>
      <c r="S2" s="1"/>
      <c r="T2" s="1"/>
      <c r="U2" s="1"/>
      <c r="V2" s="1"/>
      <c r="W2" s="1"/>
      <c r="X2" s="1"/>
      <c r="Y2" s="1"/>
      <c r="Z2" s="1"/>
    </row>
    <row r="3" spans="1:26" ht="60" customHeight="1" x14ac:dyDescent="0.25">
      <c r="A3" s="78" t="s">
        <v>30</v>
      </c>
      <c r="B3" s="81" t="s">
        <v>31</v>
      </c>
      <c r="C3" s="1"/>
      <c r="D3" s="1"/>
      <c r="E3" s="1"/>
      <c r="F3" s="1"/>
      <c r="G3" s="1"/>
      <c r="H3" s="1"/>
      <c r="I3" s="1"/>
      <c r="J3" s="1"/>
      <c r="K3" s="1"/>
      <c r="L3" s="1"/>
      <c r="M3" s="1"/>
      <c r="N3" s="1"/>
      <c r="O3" s="1"/>
      <c r="P3" s="1"/>
      <c r="Q3" s="1"/>
      <c r="R3" s="1"/>
      <c r="S3" s="1"/>
      <c r="T3" s="1"/>
      <c r="U3" s="1"/>
      <c r="V3" s="1"/>
      <c r="W3" s="1"/>
      <c r="X3" s="1"/>
      <c r="Y3" s="1"/>
      <c r="Z3" s="1"/>
    </row>
    <row r="4" spans="1:26" ht="60" customHeight="1" x14ac:dyDescent="0.25">
      <c r="A4" s="78" t="s">
        <v>32</v>
      </c>
      <c r="B4" s="81" t="s">
        <v>33</v>
      </c>
      <c r="C4" s="1"/>
      <c r="D4" s="1"/>
      <c r="E4" s="1"/>
      <c r="F4" s="1"/>
      <c r="G4" s="1"/>
      <c r="H4" s="1"/>
      <c r="I4" s="1"/>
      <c r="J4" s="1"/>
      <c r="K4" s="1"/>
      <c r="L4" s="1"/>
      <c r="M4" s="1"/>
      <c r="N4" s="1"/>
      <c r="O4" s="1"/>
      <c r="P4" s="1"/>
      <c r="Q4" s="1"/>
      <c r="R4" s="1"/>
      <c r="S4" s="1"/>
      <c r="T4" s="1"/>
      <c r="U4" s="1"/>
      <c r="V4" s="1"/>
      <c r="W4" s="1"/>
      <c r="X4" s="1"/>
      <c r="Y4" s="1"/>
      <c r="Z4" s="1"/>
    </row>
    <row r="5" spans="1:26" ht="60" customHeight="1" x14ac:dyDescent="0.25">
      <c r="A5" s="78" t="s">
        <v>34</v>
      </c>
      <c r="B5" s="81" t="s">
        <v>35</v>
      </c>
      <c r="C5" s="1"/>
      <c r="D5" s="1"/>
      <c r="E5" s="1"/>
      <c r="F5" s="1"/>
      <c r="G5" s="1"/>
      <c r="H5" s="1"/>
      <c r="I5" s="1"/>
      <c r="J5" s="1"/>
      <c r="K5" s="1"/>
      <c r="L5" s="1"/>
      <c r="M5" s="1"/>
      <c r="N5" s="1"/>
      <c r="O5" s="1"/>
      <c r="P5" s="1"/>
      <c r="Q5" s="1"/>
      <c r="R5" s="1"/>
      <c r="S5" s="1"/>
      <c r="T5" s="1"/>
      <c r="U5" s="1"/>
      <c r="V5" s="1"/>
      <c r="W5" s="1"/>
      <c r="X5" s="1"/>
      <c r="Y5" s="1"/>
      <c r="Z5" s="1"/>
    </row>
    <row r="6" spans="1:26" ht="45" customHeight="1" x14ac:dyDescent="0.25">
      <c r="A6" s="78" t="s">
        <v>36</v>
      </c>
      <c r="B6" s="81" t="s">
        <v>37</v>
      </c>
      <c r="C6" s="1"/>
      <c r="D6" s="1"/>
      <c r="E6" s="1"/>
      <c r="F6" s="1"/>
      <c r="G6" s="1"/>
      <c r="H6" s="1"/>
      <c r="I6" s="1"/>
      <c r="J6" s="1"/>
      <c r="K6" s="1"/>
      <c r="L6" s="1"/>
      <c r="M6" s="1"/>
      <c r="N6" s="1"/>
      <c r="O6" s="1"/>
      <c r="P6" s="1"/>
      <c r="Q6" s="1"/>
      <c r="R6" s="1"/>
      <c r="S6" s="1"/>
      <c r="T6" s="1"/>
      <c r="U6" s="1"/>
      <c r="V6" s="1"/>
      <c r="W6" s="1"/>
      <c r="X6" s="1"/>
      <c r="Y6" s="1"/>
      <c r="Z6" s="1"/>
    </row>
    <row r="7" spans="1:26" ht="45" customHeight="1" x14ac:dyDescent="0.25">
      <c r="A7" s="78" t="s">
        <v>38</v>
      </c>
      <c r="B7" s="81" t="s">
        <v>39</v>
      </c>
      <c r="C7" s="1"/>
      <c r="D7" s="1"/>
      <c r="E7" s="1"/>
      <c r="F7" s="1"/>
      <c r="G7" s="1"/>
      <c r="H7" s="1"/>
      <c r="I7" s="1"/>
      <c r="J7" s="1"/>
      <c r="K7" s="1"/>
      <c r="L7" s="1"/>
      <c r="M7" s="1"/>
      <c r="N7" s="1"/>
      <c r="O7" s="1"/>
      <c r="P7" s="1"/>
      <c r="Q7" s="1"/>
      <c r="R7" s="1"/>
      <c r="S7" s="1"/>
      <c r="T7" s="1"/>
      <c r="U7" s="1"/>
      <c r="V7" s="1"/>
      <c r="W7" s="1"/>
      <c r="X7" s="1"/>
      <c r="Y7" s="1"/>
      <c r="Z7" s="1"/>
    </row>
    <row r="8" spans="1:26" ht="45" customHeight="1" x14ac:dyDescent="0.25">
      <c r="A8" s="78" t="s">
        <v>40</v>
      </c>
      <c r="B8" s="81" t="s">
        <v>41</v>
      </c>
      <c r="C8" s="1"/>
      <c r="D8" s="1"/>
      <c r="E8" s="1"/>
      <c r="F8" s="1"/>
      <c r="G8" s="1"/>
      <c r="H8" s="1"/>
      <c r="I8" s="1"/>
      <c r="J8" s="1"/>
      <c r="K8" s="1"/>
      <c r="L8" s="1"/>
      <c r="M8" s="1"/>
      <c r="N8" s="1"/>
      <c r="O8" s="1"/>
      <c r="P8" s="1"/>
      <c r="Q8" s="1"/>
      <c r="R8" s="1"/>
      <c r="S8" s="1"/>
      <c r="T8" s="1"/>
      <c r="U8" s="1"/>
      <c r="V8" s="1"/>
      <c r="W8" s="1"/>
      <c r="X8" s="1"/>
      <c r="Y8" s="1"/>
      <c r="Z8" s="1"/>
    </row>
    <row r="9" spans="1:26" ht="45" customHeight="1" x14ac:dyDescent="0.25">
      <c r="A9" s="78" t="s">
        <v>42</v>
      </c>
      <c r="B9" s="81" t="s">
        <v>43</v>
      </c>
      <c r="C9" s="1"/>
      <c r="D9" s="1"/>
      <c r="E9" s="1"/>
      <c r="F9" s="1"/>
      <c r="G9" s="1"/>
      <c r="H9" s="1"/>
      <c r="I9" s="1"/>
      <c r="J9" s="1"/>
      <c r="K9" s="1"/>
      <c r="L9" s="1"/>
      <c r="M9" s="1"/>
      <c r="N9" s="1"/>
      <c r="O9" s="1"/>
      <c r="P9" s="1"/>
      <c r="Q9" s="1"/>
      <c r="R9" s="1"/>
      <c r="S9" s="1"/>
      <c r="T9" s="1"/>
      <c r="U9" s="1"/>
      <c r="V9" s="1"/>
      <c r="W9" s="1"/>
      <c r="X9" s="1"/>
      <c r="Y9" s="1"/>
      <c r="Z9" s="1"/>
    </row>
    <row r="10" spans="1:26" ht="49.5" customHeight="1" x14ac:dyDescent="0.25">
      <c r="A10" s="78" t="s">
        <v>44</v>
      </c>
      <c r="B10" s="81" t="s">
        <v>45</v>
      </c>
      <c r="C10" s="1"/>
      <c r="D10" s="1"/>
      <c r="E10" s="1"/>
      <c r="F10" s="1"/>
      <c r="G10" s="1"/>
      <c r="H10" s="1"/>
      <c r="I10" s="1"/>
      <c r="J10" s="1"/>
      <c r="K10" s="1"/>
      <c r="L10" s="1"/>
      <c r="M10" s="1"/>
      <c r="N10" s="1"/>
      <c r="O10" s="1"/>
      <c r="P10" s="1"/>
      <c r="Q10" s="1"/>
      <c r="R10" s="1"/>
      <c r="S10" s="1"/>
      <c r="T10" s="1"/>
      <c r="U10" s="1"/>
      <c r="V10" s="1"/>
      <c r="W10" s="1"/>
      <c r="X10" s="1"/>
      <c r="Y10" s="1"/>
      <c r="Z10" s="1"/>
    </row>
    <row r="11" spans="1:26" ht="45" customHeight="1" x14ac:dyDescent="0.25">
      <c r="A11" s="78" t="s">
        <v>36</v>
      </c>
      <c r="B11" s="81" t="s">
        <v>46</v>
      </c>
      <c r="C11" s="1"/>
      <c r="D11" s="1"/>
      <c r="E11" s="1"/>
      <c r="F11" s="1"/>
      <c r="G11" s="1"/>
      <c r="H11" s="1"/>
      <c r="I11" s="1"/>
      <c r="J11" s="1"/>
      <c r="K11" s="1"/>
      <c r="L11" s="1"/>
      <c r="M11" s="1"/>
      <c r="N11" s="1"/>
      <c r="O11" s="1"/>
      <c r="P11" s="1"/>
      <c r="Q11" s="1"/>
      <c r="R11" s="1"/>
      <c r="S11" s="1"/>
      <c r="T11" s="1"/>
      <c r="U11" s="1"/>
      <c r="V11" s="1"/>
      <c r="W11" s="1"/>
      <c r="X11" s="1"/>
      <c r="Y11" s="1"/>
      <c r="Z11" s="1"/>
    </row>
    <row r="12" spans="1:26" ht="49.5" customHeight="1" x14ac:dyDescent="0.25">
      <c r="A12" s="78" t="s">
        <v>34</v>
      </c>
      <c r="B12" s="81" t="s">
        <v>47</v>
      </c>
      <c r="C12" s="1"/>
      <c r="D12" s="1"/>
      <c r="E12" s="1"/>
      <c r="F12" s="1"/>
      <c r="G12" s="1"/>
      <c r="H12" s="1"/>
      <c r="I12" s="1"/>
      <c r="J12" s="1"/>
      <c r="K12" s="1"/>
      <c r="L12" s="1"/>
      <c r="M12" s="1"/>
      <c r="N12" s="1"/>
      <c r="O12" s="1"/>
      <c r="P12" s="1"/>
      <c r="Q12" s="1"/>
      <c r="R12" s="1"/>
      <c r="S12" s="1"/>
      <c r="T12" s="1"/>
      <c r="U12" s="1"/>
      <c r="V12" s="1"/>
      <c r="W12" s="1"/>
      <c r="X12" s="1"/>
      <c r="Y12" s="1"/>
      <c r="Z12" s="1"/>
    </row>
    <row r="13" spans="1:26" ht="45" customHeight="1" x14ac:dyDescent="0.25">
      <c r="A13" s="78" t="s">
        <v>48</v>
      </c>
      <c r="B13" s="81" t="s">
        <v>49</v>
      </c>
      <c r="C13" s="1"/>
      <c r="D13" s="1"/>
      <c r="E13" s="1"/>
      <c r="F13" s="1"/>
      <c r="G13" s="1"/>
      <c r="H13" s="1"/>
      <c r="I13" s="1"/>
      <c r="J13" s="1"/>
      <c r="K13" s="1"/>
      <c r="L13" s="1"/>
      <c r="M13" s="1"/>
      <c r="N13" s="1"/>
      <c r="O13" s="1"/>
      <c r="P13" s="1"/>
      <c r="Q13" s="1"/>
      <c r="R13" s="1"/>
      <c r="S13" s="1"/>
      <c r="T13" s="1"/>
      <c r="U13" s="1"/>
      <c r="V13" s="1"/>
      <c r="W13" s="1"/>
      <c r="X13" s="1"/>
      <c r="Y13" s="1"/>
      <c r="Z13" s="1"/>
    </row>
    <row r="14" spans="1:26" ht="45" customHeight="1" x14ac:dyDescent="0.25">
      <c r="A14" s="78" t="s">
        <v>50</v>
      </c>
      <c r="B14" s="81" t="s">
        <v>51</v>
      </c>
      <c r="C14" s="1"/>
      <c r="D14" s="1"/>
      <c r="E14" s="1"/>
      <c r="F14" s="1"/>
      <c r="G14" s="1"/>
      <c r="H14" s="1"/>
      <c r="I14" s="1"/>
      <c r="J14" s="1"/>
      <c r="K14" s="1"/>
      <c r="L14" s="1"/>
      <c r="M14" s="1"/>
      <c r="N14" s="1"/>
      <c r="O14" s="1"/>
      <c r="P14" s="1"/>
      <c r="Q14" s="1"/>
      <c r="R14" s="1"/>
      <c r="S14" s="1"/>
      <c r="T14" s="1"/>
      <c r="U14" s="1"/>
      <c r="V14" s="1"/>
      <c r="W14" s="1"/>
      <c r="X14" s="1"/>
      <c r="Y14" s="1"/>
      <c r="Z14" s="1"/>
    </row>
    <row r="15" spans="1:26" ht="60" customHeight="1" x14ac:dyDescent="0.25">
      <c r="A15" s="82" t="s">
        <v>52</v>
      </c>
      <c r="B15" s="45" t="s">
        <v>53</v>
      </c>
      <c r="C15" s="1"/>
      <c r="D15" s="1"/>
      <c r="E15" s="1"/>
      <c r="F15" s="1"/>
      <c r="G15" s="1"/>
      <c r="H15" s="1"/>
      <c r="I15" s="1"/>
      <c r="J15" s="1"/>
      <c r="K15" s="1"/>
      <c r="L15" s="1"/>
      <c r="M15" s="1"/>
      <c r="N15" s="1"/>
      <c r="O15" s="1"/>
      <c r="P15" s="1"/>
      <c r="Q15" s="1"/>
      <c r="R15" s="1"/>
      <c r="S15" s="1"/>
      <c r="T15" s="1"/>
      <c r="U15" s="1"/>
      <c r="V15" s="1"/>
      <c r="W15" s="1"/>
      <c r="X15" s="1"/>
      <c r="Y15" s="1"/>
      <c r="Z15" s="1"/>
    </row>
    <row r="16" spans="1:26" ht="60" customHeight="1" x14ac:dyDescent="0.25">
      <c r="A16" s="82" t="s">
        <v>54</v>
      </c>
      <c r="B16" s="45" t="s">
        <v>55</v>
      </c>
      <c r="C16" s="1"/>
      <c r="D16" s="1"/>
      <c r="E16" s="1"/>
      <c r="F16" s="1"/>
      <c r="G16" s="1"/>
      <c r="H16" s="1"/>
      <c r="I16" s="1"/>
      <c r="J16" s="1"/>
      <c r="K16" s="1"/>
      <c r="L16" s="1"/>
      <c r="M16" s="1"/>
      <c r="N16" s="1"/>
      <c r="O16" s="1"/>
      <c r="P16" s="1"/>
      <c r="Q16" s="1"/>
      <c r="R16" s="1"/>
      <c r="S16" s="1"/>
      <c r="T16" s="1"/>
      <c r="U16" s="1"/>
      <c r="V16" s="1"/>
      <c r="W16" s="1"/>
      <c r="X16" s="1"/>
      <c r="Y16" s="1"/>
      <c r="Z16" s="1"/>
    </row>
    <row r="17" spans="1:26" ht="60" customHeight="1" x14ac:dyDescent="0.25">
      <c r="A17" s="82" t="s">
        <v>56</v>
      </c>
      <c r="B17" s="45" t="s">
        <v>57</v>
      </c>
      <c r="C17" s="1"/>
      <c r="D17" s="1"/>
      <c r="E17" s="1"/>
      <c r="F17" s="1"/>
      <c r="G17" s="1"/>
      <c r="H17" s="1"/>
      <c r="I17" s="1"/>
      <c r="J17" s="1"/>
      <c r="K17" s="1"/>
      <c r="L17" s="1"/>
      <c r="M17" s="1"/>
      <c r="N17" s="1"/>
      <c r="O17" s="1"/>
      <c r="P17" s="1"/>
      <c r="Q17" s="1"/>
      <c r="R17" s="1"/>
      <c r="S17" s="1"/>
      <c r="T17" s="1"/>
      <c r="U17" s="1"/>
      <c r="V17" s="1"/>
      <c r="W17" s="1"/>
      <c r="X17" s="1"/>
      <c r="Y17" s="1"/>
      <c r="Z17" s="1"/>
    </row>
    <row r="18" spans="1:26" ht="60" customHeight="1" x14ac:dyDescent="0.25">
      <c r="A18" s="82" t="s">
        <v>58</v>
      </c>
      <c r="B18" s="45" t="s">
        <v>59</v>
      </c>
      <c r="C18" s="1"/>
      <c r="D18" s="1"/>
      <c r="E18" s="1"/>
      <c r="F18" s="1"/>
      <c r="G18" s="1"/>
      <c r="H18" s="1"/>
      <c r="I18" s="1"/>
      <c r="J18" s="1"/>
      <c r="K18" s="1"/>
      <c r="L18" s="1"/>
      <c r="M18" s="1"/>
      <c r="N18" s="1"/>
      <c r="O18" s="1"/>
      <c r="P18" s="1"/>
      <c r="Q18" s="1"/>
      <c r="R18" s="1"/>
      <c r="S18" s="1"/>
      <c r="T18" s="1"/>
      <c r="U18" s="1"/>
      <c r="V18" s="1"/>
      <c r="W18" s="1"/>
      <c r="X18" s="1"/>
      <c r="Y18" s="1"/>
      <c r="Z18" s="1"/>
    </row>
    <row r="19" spans="1:26" ht="60" customHeight="1" x14ac:dyDescent="0.25">
      <c r="A19" s="82" t="s">
        <v>60</v>
      </c>
      <c r="B19" s="45" t="s">
        <v>61</v>
      </c>
      <c r="C19" s="1"/>
      <c r="D19" s="1"/>
      <c r="E19" s="1"/>
      <c r="F19" s="1"/>
      <c r="G19" s="1"/>
      <c r="H19" s="1"/>
      <c r="I19" s="1"/>
      <c r="J19" s="1"/>
      <c r="K19" s="1"/>
      <c r="L19" s="1"/>
      <c r="M19" s="1"/>
      <c r="N19" s="1"/>
      <c r="O19" s="1"/>
      <c r="P19" s="1"/>
      <c r="Q19" s="1"/>
      <c r="R19" s="1"/>
      <c r="S19" s="1"/>
      <c r="T19" s="1"/>
      <c r="U19" s="1"/>
      <c r="V19" s="1"/>
      <c r="W19" s="1"/>
      <c r="X19" s="1"/>
      <c r="Y19" s="1"/>
      <c r="Z19" s="1"/>
    </row>
    <row r="20" spans="1:26" ht="60" customHeight="1" x14ac:dyDescent="0.25">
      <c r="A20" s="82" t="s">
        <v>62</v>
      </c>
      <c r="B20" s="45" t="s">
        <v>63</v>
      </c>
      <c r="C20" s="1"/>
      <c r="D20" s="1"/>
      <c r="E20" s="1"/>
      <c r="F20" s="1"/>
      <c r="G20" s="1"/>
      <c r="H20" s="1"/>
      <c r="I20" s="1"/>
      <c r="J20" s="1"/>
      <c r="K20" s="1"/>
      <c r="L20" s="1"/>
      <c r="M20" s="1"/>
      <c r="N20" s="1"/>
      <c r="O20" s="1"/>
      <c r="P20" s="1"/>
      <c r="Q20" s="1"/>
      <c r="R20" s="1"/>
      <c r="S20" s="1"/>
      <c r="T20" s="1"/>
      <c r="U20" s="1"/>
      <c r="V20" s="1"/>
      <c r="W20" s="1"/>
      <c r="X20" s="1"/>
      <c r="Y20" s="1"/>
      <c r="Z20" s="1"/>
    </row>
    <row r="21" spans="1:26" ht="16.5" customHeight="1" x14ac:dyDescent="0.25">
      <c r="A21" s="2"/>
      <c r="B21" s="3"/>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25">
      <c r="A22" s="2"/>
      <c r="B22" s="3"/>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x14ac:dyDescent="0.25">
      <c r="A23" s="2"/>
      <c r="B23" s="3"/>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2"/>
  <sheetViews>
    <sheetView topLeftCell="A7" zoomScale="70" zoomScaleNormal="70" workbookViewId="0">
      <selection activeCell="E9" sqref="E9"/>
    </sheetView>
  </sheetViews>
  <sheetFormatPr baseColWidth="10" defaultColWidth="12.5703125" defaultRowHeight="15" customHeight="1" x14ac:dyDescent="0.2"/>
  <cols>
    <col min="1" max="1" width="24.42578125" style="71" customWidth="1"/>
    <col min="2" max="2" width="88.140625" style="71" customWidth="1"/>
    <col min="3" max="3" width="25.140625" style="71" customWidth="1"/>
    <col min="4" max="4" width="27.7109375" style="71" customWidth="1"/>
    <col min="5" max="5" width="65.28515625" style="71" customWidth="1"/>
    <col min="6" max="6" width="26.42578125" style="71" customWidth="1"/>
  </cols>
  <sheetData>
    <row r="1" spans="1:26" ht="30.75" customHeight="1" x14ac:dyDescent="0.25">
      <c r="A1" s="169" t="s">
        <v>64</v>
      </c>
      <c r="B1" s="170"/>
    </row>
    <row r="2" spans="1:26" ht="18" customHeight="1" x14ac:dyDescent="0.25">
      <c r="A2" s="77" t="s">
        <v>65</v>
      </c>
      <c r="B2" s="83" t="s">
        <v>66</v>
      </c>
      <c r="C2" s="4"/>
      <c r="D2" s="4"/>
      <c r="E2" s="4"/>
      <c r="F2" s="4"/>
      <c r="G2" s="4"/>
      <c r="H2" s="4"/>
      <c r="I2" s="4"/>
      <c r="J2" s="4"/>
      <c r="K2" s="4"/>
      <c r="L2" s="4"/>
      <c r="M2" s="4"/>
      <c r="N2" s="7"/>
      <c r="O2" s="7"/>
      <c r="P2" s="7"/>
      <c r="Q2" s="7"/>
      <c r="R2" s="7"/>
      <c r="S2" s="7"/>
      <c r="T2" s="7"/>
      <c r="U2" s="7"/>
      <c r="V2" s="7"/>
      <c r="W2" s="7"/>
      <c r="X2" s="7"/>
      <c r="Y2" s="7"/>
      <c r="Z2" s="7"/>
    </row>
    <row r="3" spans="1:26" ht="57" customHeight="1" x14ac:dyDescent="0.25">
      <c r="A3" s="78" t="s">
        <v>10</v>
      </c>
      <c r="B3" s="84" t="s">
        <v>67</v>
      </c>
      <c r="C3" s="4"/>
      <c r="D3" s="4"/>
      <c r="E3" s="4"/>
      <c r="F3" s="4"/>
      <c r="G3" s="4"/>
      <c r="H3" s="4"/>
      <c r="I3" s="4"/>
      <c r="J3" s="4"/>
      <c r="K3" s="4"/>
      <c r="L3" s="4"/>
      <c r="M3" s="4"/>
      <c r="N3" s="7"/>
      <c r="O3" s="7"/>
      <c r="P3" s="7"/>
      <c r="Q3" s="7"/>
      <c r="R3" s="7"/>
      <c r="S3" s="7"/>
      <c r="T3" s="7"/>
      <c r="U3" s="7"/>
      <c r="V3" s="7"/>
      <c r="W3" s="7"/>
      <c r="X3" s="7"/>
      <c r="Y3" s="7"/>
      <c r="Z3" s="7"/>
    </row>
    <row r="4" spans="1:26" ht="57" customHeight="1" x14ac:dyDescent="0.25">
      <c r="A4" s="78" t="s">
        <v>68</v>
      </c>
      <c r="B4" s="84" t="s">
        <v>69</v>
      </c>
      <c r="C4" s="4"/>
      <c r="D4" s="4"/>
      <c r="E4" s="4"/>
      <c r="F4" s="4"/>
      <c r="G4" s="4"/>
      <c r="H4" s="4"/>
      <c r="I4" s="4"/>
      <c r="J4" s="4"/>
      <c r="K4" s="4"/>
      <c r="L4" s="4"/>
      <c r="M4" s="4"/>
      <c r="N4" s="7"/>
      <c r="O4" s="7"/>
      <c r="P4" s="7"/>
      <c r="Q4" s="7"/>
      <c r="R4" s="7"/>
      <c r="S4" s="7"/>
      <c r="T4" s="7"/>
      <c r="U4" s="7"/>
      <c r="V4" s="7"/>
      <c r="W4" s="7"/>
      <c r="X4" s="7"/>
      <c r="Y4" s="7"/>
      <c r="Z4" s="7"/>
    </row>
    <row r="5" spans="1:26" ht="57" customHeight="1" x14ac:dyDescent="0.25">
      <c r="A5" s="78" t="s">
        <v>70</v>
      </c>
      <c r="B5" s="84" t="s">
        <v>71</v>
      </c>
      <c r="C5" s="4"/>
      <c r="D5" s="4"/>
      <c r="E5" s="4"/>
      <c r="F5" s="4"/>
      <c r="G5" s="4"/>
      <c r="H5" s="4"/>
      <c r="I5" s="4"/>
      <c r="J5" s="4"/>
      <c r="K5" s="4"/>
      <c r="L5" s="4"/>
      <c r="M5" s="4"/>
      <c r="N5" s="7"/>
      <c r="O5" s="7"/>
      <c r="P5" s="7"/>
      <c r="Q5" s="7"/>
      <c r="R5" s="7"/>
      <c r="S5" s="7"/>
      <c r="T5" s="7"/>
      <c r="U5" s="7"/>
      <c r="V5" s="7"/>
      <c r="W5" s="7"/>
      <c r="X5" s="7"/>
      <c r="Y5" s="7"/>
      <c r="Z5" s="7"/>
    </row>
    <row r="6" spans="1:26" ht="57" customHeight="1" x14ac:dyDescent="0.25">
      <c r="A6" s="78" t="s">
        <v>22</v>
      </c>
      <c r="B6" s="84" t="s">
        <v>72</v>
      </c>
      <c r="C6" s="4"/>
      <c r="D6" s="4"/>
      <c r="E6" s="4"/>
      <c r="F6" s="4"/>
      <c r="G6" s="4"/>
      <c r="H6" s="4"/>
      <c r="I6" s="4"/>
      <c r="J6" s="4"/>
      <c r="K6" s="4"/>
      <c r="L6" s="4"/>
      <c r="M6" s="4"/>
      <c r="N6" s="7"/>
      <c r="O6" s="7"/>
      <c r="P6" s="7"/>
      <c r="Q6" s="7"/>
      <c r="R6" s="7"/>
      <c r="S6" s="7"/>
      <c r="T6" s="7"/>
      <c r="U6" s="7"/>
      <c r="V6" s="7"/>
      <c r="W6" s="7"/>
      <c r="X6" s="7"/>
      <c r="Y6" s="7"/>
      <c r="Z6" s="7"/>
    </row>
    <row r="7" spans="1:26" ht="38.25" customHeight="1" x14ac:dyDescent="0.25">
      <c r="A7" s="78" t="s">
        <v>73</v>
      </c>
      <c r="B7" s="84" t="s">
        <v>74</v>
      </c>
      <c r="C7" s="4"/>
      <c r="D7" s="4"/>
      <c r="E7" s="4"/>
      <c r="F7" s="4"/>
      <c r="G7" s="4"/>
      <c r="H7" s="4"/>
      <c r="I7" s="4"/>
      <c r="J7" s="4"/>
      <c r="K7" s="4"/>
      <c r="L7" s="4"/>
      <c r="M7" s="4"/>
      <c r="N7" s="7"/>
      <c r="O7" s="7"/>
      <c r="P7" s="7"/>
      <c r="Q7" s="7"/>
      <c r="R7" s="7"/>
      <c r="S7" s="7"/>
      <c r="T7" s="7"/>
      <c r="U7" s="7"/>
      <c r="V7" s="7"/>
      <c r="W7" s="7"/>
      <c r="X7" s="7"/>
      <c r="Y7" s="7"/>
      <c r="Z7" s="7"/>
    </row>
    <row r="8" spans="1:26" ht="43.5" customHeight="1" x14ac:dyDescent="0.25">
      <c r="A8" s="78" t="s">
        <v>75</v>
      </c>
      <c r="B8" s="85">
        <v>46278</v>
      </c>
      <c r="C8" s="4"/>
      <c r="D8" s="4"/>
      <c r="E8" s="4"/>
      <c r="F8" s="4"/>
      <c r="G8" s="4"/>
      <c r="H8" s="4"/>
      <c r="I8" s="4"/>
      <c r="J8" s="4"/>
      <c r="K8" s="4"/>
      <c r="L8" s="4"/>
      <c r="M8" s="4"/>
      <c r="N8" s="7"/>
      <c r="O8" s="7"/>
      <c r="P8" s="7"/>
      <c r="Q8" s="7"/>
      <c r="R8" s="7"/>
      <c r="S8" s="7"/>
      <c r="T8" s="7"/>
      <c r="U8" s="7"/>
      <c r="V8" s="7"/>
      <c r="W8" s="7"/>
      <c r="X8" s="7"/>
      <c r="Y8" s="7"/>
      <c r="Z8" s="7"/>
    </row>
    <row r="9" spans="1:26" ht="57" customHeight="1" x14ac:dyDescent="0.25">
      <c r="A9" s="78" t="s">
        <v>76</v>
      </c>
      <c r="B9" s="84" t="s">
        <v>77</v>
      </c>
      <c r="C9" s="4"/>
      <c r="D9" s="4"/>
      <c r="E9" s="4"/>
      <c r="F9" s="4"/>
      <c r="G9" s="9"/>
      <c r="H9" s="9"/>
      <c r="I9" s="9"/>
      <c r="J9" s="9"/>
      <c r="K9" s="9"/>
      <c r="L9" s="9"/>
      <c r="M9" s="9"/>
      <c r="N9" s="9"/>
      <c r="O9" s="9"/>
      <c r="P9" s="9"/>
      <c r="Q9" s="9"/>
      <c r="R9" s="9"/>
      <c r="S9" s="9"/>
      <c r="T9" s="9"/>
      <c r="U9" s="9"/>
      <c r="V9" s="9"/>
      <c r="W9" s="9"/>
      <c r="X9" s="9"/>
      <c r="Y9" s="9"/>
      <c r="Z9" s="9"/>
    </row>
    <row r="10" spans="1:26" ht="18.75" customHeight="1" x14ac:dyDescent="0.25">
      <c r="A10" s="10"/>
      <c r="B10" s="11"/>
      <c r="G10" s="9"/>
      <c r="H10" s="9"/>
      <c r="I10" s="9"/>
      <c r="J10" s="9"/>
      <c r="K10" s="9"/>
      <c r="L10" s="9"/>
      <c r="M10" s="9"/>
      <c r="N10" s="9"/>
      <c r="O10" s="9"/>
      <c r="P10" s="9"/>
      <c r="Q10" s="9"/>
      <c r="R10" s="9"/>
      <c r="S10" s="9"/>
      <c r="T10" s="9"/>
      <c r="U10" s="9"/>
      <c r="V10" s="9"/>
      <c r="W10" s="9"/>
      <c r="X10" s="9"/>
      <c r="Y10" s="9"/>
      <c r="Z10" s="9"/>
    </row>
    <row r="11" spans="1:26" ht="12.75" customHeight="1" x14ac:dyDescent="0.2">
      <c r="G11" s="9"/>
      <c r="H11" s="9"/>
      <c r="I11" s="9"/>
      <c r="J11" s="9"/>
      <c r="K11" s="9"/>
      <c r="L11" s="9"/>
      <c r="M11" s="9"/>
      <c r="N11" s="9"/>
      <c r="O11" s="9"/>
      <c r="P11" s="9"/>
      <c r="Q11" s="9"/>
      <c r="R11" s="9"/>
      <c r="S11" s="9"/>
      <c r="T11" s="9"/>
      <c r="U11" s="9"/>
      <c r="V11" s="9"/>
      <c r="W11" s="9"/>
      <c r="X11" s="9"/>
      <c r="Y11" s="9"/>
      <c r="Z11" s="9"/>
    </row>
    <row r="12" spans="1:26" ht="6" customHeight="1" x14ac:dyDescent="0.2">
      <c r="A12" s="46"/>
      <c r="B12" s="46"/>
      <c r="C12" s="46"/>
      <c r="D12" s="46"/>
      <c r="E12" s="46"/>
      <c r="G12" s="9"/>
      <c r="H12" s="9"/>
      <c r="I12" s="9"/>
      <c r="J12" s="9"/>
      <c r="K12" s="9"/>
      <c r="L12" s="9"/>
      <c r="M12" s="9"/>
      <c r="N12" s="9"/>
      <c r="O12" s="9"/>
      <c r="P12" s="9"/>
      <c r="Q12" s="9"/>
      <c r="R12" s="9"/>
      <c r="S12" s="9"/>
      <c r="T12" s="9"/>
      <c r="U12" s="9"/>
      <c r="V12" s="9"/>
      <c r="W12" s="9"/>
      <c r="X12" s="9"/>
      <c r="Y12" s="9"/>
      <c r="Z12" s="9"/>
    </row>
    <row r="13" spans="1:26" ht="36" customHeight="1" x14ac:dyDescent="0.25">
      <c r="A13" s="86" t="s">
        <v>78</v>
      </c>
      <c r="B13" s="87" t="s">
        <v>79</v>
      </c>
      <c r="C13" s="86" t="s">
        <v>80</v>
      </c>
      <c r="D13" s="86" t="s">
        <v>81</v>
      </c>
      <c r="E13" s="86" t="s">
        <v>82</v>
      </c>
      <c r="F13" s="86" t="s">
        <v>83</v>
      </c>
      <c r="G13" s="47"/>
      <c r="H13" s="9"/>
      <c r="I13" s="9"/>
      <c r="J13" s="9"/>
      <c r="K13" s="9"/>
      <c r="L13" s="9"/>
      <c r="M13" s="9"/>
      <c r="N13" s="9"/>
      <c r="O13" s="9"/>
      <c r="P13" s="9"/>
      <c r="Q13" s="9"/>
      <c r="R13" s="9"/>
      <c r="S13" s="9"/>
      <c r="T13" s="9"/>
      <c r="U13" s="9"/>
      <c r="V13" s="9"/>
      <c r="W13" s="9"/>
      <c r="X13" s="9"/>
      <c r="Y13" s="9"/>
      <c r="Z13" s="9"/>
    </row>
    <row r="14" spans="1:26" ht="165" customHeight="1" x14ac:dyDescent="0.2">
      <c r="A14" s="88" t="s">
        <v>84</v>
      </c>
      <c r="B14" s="89" t="s">
        <v>28</v>
      </c>
      <c r="C14" s="89" t="s">
        <v>85</v>
      </c>
      <c r="D14" s="89" t="s">
        <v>86</v>
      </c>
      <c r="E14" s="89" t="s">
        <v>87</v>
      </c>
      <c r="F14" s="90" t="s">
        <v>88</v>
      </c>
      <c r="G14" s="48"/>
    </row>
    <row r="15" spans="1:26" ht="135" customHeight="1" x14ac:dyDescent="0.2">
      <c r="A15" s="88" t="s">
        <v>89</v>
      </c>
      <c r="B15" s="89" t="s">
        <v>30</v>
      </c>
      <c r="C15" s="89" t="s">
        <v>85</v>
      </c>
      <c r="D15" s="89" t="s">
        <v>90</v>
      </c>
      <c r="E15" s="89" t="s">
        <v>91</v>
      </c>
      <c r="F15" s="90" t="s">
        <v>92</v>
      </c>
      <c r="G15" s="48"/>
    </row>
    <row r="16" spans="1:26" ht="120" customHeight="1" x14ac:dyDescent="0.2">
      <c r="A16" s="88" t="s">
        <v>93</v>
      </c>
      <c r="B16" s="89" t="s">
        <v>94</v>
      </c>
      <c r="C16" s="89" t="s">
        <v>85</v>
      </c>
      <c r="D16" s="89" t="s">
        <v>95</v>
      </c>
      <c r="E16" s="89" t="s">
        <v>96</v>
      </c>
      <c r="F16" s="90" t="s">
        <v>97</v>
      </c>
      <c r="G16" s="48"/>
    </row>
    <row r="17" spans="1:7" ht="135" customHeight="1" x14ac:dyDescent="0.2">
      <c r="A17" s="88" t="s">
        <v>98</v>
      </c>
      <c r="B17" s="89" t="s">
        <v>34</v>
      </c>
      <c r="C17" s="89" t="s">
        <v>85</v>
      </c>
      <c r="D17" s="89" t="s">
        <v>99</v>
      </c>
      <c r="E17" s="89" t="s">
        <v>100</v>
      </c>
      <c r="F17" s="90" t="s">
        <v>101</v>
      </c>
      <c r="G17" s="48"/>
    </row>
    <row r="18" spans="1:7" ht="120" customHeight="1" x14ac:dyDescent="0.2">
      <c r="A18" s="88" t="s">
        <v>102</v>
      </c>
      <c r="B18" s="89" t="s">
        <v>36</v>
      </c>
      <c r="C18" s="89" t="s">
        <v>85</v>
      </c>
      <c r="D18" s="89" t="s">
        <v>103</v>
      </c>
      <c r="E18" s="89" t="s">
        <v>100</v>
      </c>
      <c r="F18" s="90" t="s">
        <v>101</v>
      </c>
      <c r="G18" s="48"/>
    </row>
    <row r="19" spans="1:7" ht="105" customHeight="1" x14ac:dyDescent="0.2">
      <c r="A19" s="88" t="s">
        <v>104</v>
      </c>
      <c r="B19" s="89" t="s">
        <v>38</v>
      </c>
      <c r="C19" s="89" t="s">
        <v>105</v>
      </c>
      <c r="D19" s="89" t="s">
        <v>106</v>
      </c>
      <c r="E19" s="89" t="s">
        <v>107</v>
      </c>
      <c r="F19" s="90" t="s">
        <v>88</v>
      </c>
      <c r="G19" s="48"/>
    </row>
    <row r="20" spans="1:7" ht="120" customHeight="1" x14ac:dyDescent="0.2">
      <c r="A20" s="88" t="s">
        <v>108</v>
      </c>
      <c r="B20" s="89" t="s">
        <v>40</v>
      </c>
      <c r="C20" s="89" t="s">
        <v>85</v>
      </c>
      <c r="D20" s="89" t="s">
        <v>109</v>
      </c>
      <c r="E20" s="89" t="s">
        <v>110</v>
      </c>
      <c r="F20" s="90" t="s">
        <v>110</v>
      </c>
      <c r="G20" s="48"/>
    </row>
    <row r="21" spans="1:7" ht="120" customHeight="1" x14ac:dyDescent="0.2">
      <c r="A21" s="88" t="s">
        <v>111</v>
      </c>
      <c r="B21" s="89" t="s">
        <v>42</v>
      </c>
      <c r="C21" s="89" t="s">
        <v>85</v>
      </c>
      <c r="D21" s="89" t="s">
        <v>112</v>
      </c>
      <c r="E21" s="89" t="s">
        <v>113</v>
      </c>
      <c r="F21" s="90" t="s">
        <v>114</v>
      </c>
      <c r="G21" s="48"/>
    </row>
    <row r="22" spans="1:7" ht="105" customHeight="1" x14ac:dyDescent="0.2">
      <c r="A22" s="88" t="s">
        <v>115</v>
      </c>
      <c r="B22" s="89" t="s">
        <v>44</v>
      </c>
      <c r="C22" s="89" t="s">
        <v>116</v>
      </c>
      <c r="D22" s="89" t="s">
        <v>117</v>
      </c>
      <c r="E22" s="89" t="s">
        <v>100</v>
      </c>
      <c r="F22" s="90" t="s">
        <v>118</v>
      </c>
      <c r="G22" s="48"/>
    </row>
    <row r="23" spans="1:7" ht="105" customHeight="1" x14ac:dyDescent="0.2">
      <c r="A23" s="88" t="s">
        <v>119</v>
      </c>
      <c r="B23" s="89" t="s">
        <v>36</v>
      </c>
      <c r="C23" s="89" t="s">
        <v>85</v>
      </c>
      <c r="D23" s="89" t="s">
        <v>120</v>
      </c>
      <c r="E23" s="89" t="s">
        <v>107</v>
      </c>
      <c r="F23" s="90" t="s">
        <v>121</v>
      </c>
      <c r="G23" s="48"/>
    </row>
    <row r="24" spans="1:7" ht="120" customHeight="1" x14ac:dyDescent="0.2">
      <c r="A24" s="88" t="s">
        <v>98</v>
      </c>
      <c r="B24" s="89" t="s">
        <v>34</v>
      </c>
      <c r="C24" s="89" t="s">
        <v>85</v>
      </c>
      <c r="D24" s="89" t="s">
        <v>122</v>
      </c>
      <c r="E24" s="89" t="s">
        <v>100</v>
      </c>
      <c r="F24" s="90" t="s">
        <v>110</v>
      </c>
      <c r="G24" s="48"/>
    </row>
    <row r="25" spans="1:7" ht="135" customHeight="1" x14ac:dyDescent="0.2">
      <c r="A25" s="88" t="s">
        <v>123</v>
      </c>
      <c r="B25" s="89" t="s">
        <v>48</v>
      </c>
      <c r="C25" s="89" t="s">
        <v>85</v>
      </c>
      <c r="D25" s="89" t="s">
        <v>124</v>
      </c>
      <c r="E25" s="89" t="s">
        <v>125</v>
      </c>
      <c r="F25" s="90" t="s">
        <v>88</v>
      </c>
      <c r="G25" s="48"/>
    </row>
    <row r="26" spans="1:7" ht="105" customHeight="1" x14ac:dyDescent="0.2">
      <c r="A26" s="88" t="s">
        <v>126</v>
      </c>
      <c r="B26" s="89" t="s">
        <v>50</v>
      </c>
      <c r="C26" s="89" t="s">
        <v>127</v>
      </c>
      <c r="D26" s="89" t="s">
        <v>128</v>
      </c>
      <c r="E26" s="89" t="s">
        <v>87</v>
      </c>
      <c r="F26" s="90" t="s">
        <v>129</v>
      </c>
      <c r="G26" s="48"/>
    </row>
    <row r="27" spans="1:7" ht="105" customHeight="1" x14ac:dyDescent="0.2">
      <c r="A27" s="88" t="s">
        <v>130</v>
      </c>
      <c r="B27" s="89" t="s">
        <v>131</v>
      </c>
      <c r="C27" s="89" t="s">
        <v>132</v>
      </c>
      <c r="D27" s="89" t="s">
        <v>133</v>
      </c>
      <c r="E27" s="89" t="s">
        <v>134</v>
      </c>
      <c r="F27" s="90" t="s">
        <v>135</v>
      </c>
      <c r="G27" s="48"/>
    </row>
    <row r="28" spans="1:7" ht="150" customHeight="1" x14ac:dyDescent="0.2">
      <c r="A28" s="88" t="s">
        <v>136</v>
      </c>
      <c r="B28" s="89" t="s">
        <v>54</v>
      </c>
      <c r="C28" s="89" t="s">
        <v>137</v>
      </c>
      <c r="D28" s="89" t="s">
        <v>138</v>
      </c>
      <c r="E28" s="89" t="s">
        <v>139</v>
      </c>
      <c r="F28" s="90" t="s">
        <v>140</v>
      </c>
      <c r="G28" s="48"/>
    </row>
    <row r="29" spans="1:7" ht="120" customHeight="1" x14ac:dyDescent="0.2">
      <c r="A29" s="88" t="s">
        <v>141</v>
      </c>
      <c r="B29" s="89" t="s">
        <v>52</v>
      </c>
      <c r="C29" s="89" t="s">
        <v>142</v>
      </c>
      <c r="D29" s="89" t="s">
        <v>143</v>
      </c>
      <c r="E29" s="89" t="s">
        <v>107</v>
      </c>
      <c r="F29" s="90" t="s">
        <v>144</v>
      </c>
      <c r="G29" s="48"/>
    </row>
    <row r="30" spans="1:7" ht="165" customHeight="1" x14ac:dyDescent="0.2">
      <c r="A30" s="88" t="s">
        <v>145</v>
      </c>
      <c r="B30" s="89" t="s">
        <v>56</v>
      </c>
      <c r="C30" s="89" t="s">
        <v>137</v>
      </c>
      <c r="D30" s="89" t="s">
        <v>146</v>
      </c>
      <c r="E30" s="89" t="s">
        <v>147</v>
      </c>
      <c r="F30" s="90" t="s">
        <v>148</v>
      </c>
      <c r="G30" s="48"/>
    </row>
    <row r="31" spans="1:7" ht="135" customHeight="1" x14ac:dyDescent="0.2">
      <c r="A31" s="88" t="s">
        <v>149</v>
      </c>
      <c r="B31" s="89" t="s">
        <v>58</v>
      </c>
      <c r="C31" s="89" t="s">
        <v>150</v>
      </c>
      <c r="D31" s="89" t="s">
        <v>151</v>
      </c>
      <c r="E31" s="89" t="s">
        <v>152</v>
      </c>
      <c r="F31" s="90" t="s">
        <v>153</v>
      </c>
      <c r="G31" s="48"/>
    </row>
    <row r="32" spans="1:7" ht="20.25" customHeight="1" x14ac:dyDescent="0.3">
      <c r="B32" s="49"/>
      <c r="F32" s="13"/>
    </row>
  </sheetData>
  <mergeCells count="1">
    <mergeCell ref="A1:B1"/>
  </mergeCells>
  <pageMargins left="0.75" right="0.75" top="1" bottom="1" header="0.5" footer="0.5"/>
  <pageSetup paperSize="9" orientation="portrait" horizontalDpi="360" verticalDpi="3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zoomScale="70" zoomScaleNormal="70" workbookViewId="0">
      <selection activeCell="J8" sqref="J8"/>
    </sheetView>
  </sheetViews>
  <sheetFormatPr baseColWidth="10" defaultColWidth="12.5703125" defaultRowHeight="15" customHeight="1" x14ac:dyDescent="0.2"/>
  <cols>
    <col min="1" max="2" width="19.140625" style="71" customWidth="1"/>
    <col min="3" max="3" width="25.85546875" style="71" customWidth="1"/>
    <col min="4" max="4" width="37" style="71" customWidth="1"/>
    <col min="5" max="5" width="21.85546875" style="71" customWidth="1"/>
    <col min="6" max="7" width="17" style="71" customWidth="1"/>
    <col min="8" max="8" width="18" style="71" customWidth="1"/>
    <col min="9" max="9" width="17" style="71" customWidth="1"/>
    <col min="10" max="10" width="19.140625" style="71" customWidth="1"/>
    <col min="11" max="11" width="26.42578125" style="71" customWidth="1"/>
    <col min="12" max="12" width="30.140625" style="71" customWidth="1"/>
    <col min="13" max="27" width="10" style="71" customWidth="1"/>
  </cols>
  <sheetData>
    <row r="1" spans="1:27" ht="12.75" customHeight="1" x14ac:dyDescent="0.2">
      <c r="A1" s="8"/>
    </row>
    <row r="2" spans="1:27" ht="27.75" customHeight="1" x14ac:dyDescent="0.2">
      <c r="E2" s="175" t="s">
        <v>154</v>
      </c>
      <c r="F2" s="176"/>
      <c r="G2" s="176"/>
      <c r="H2" s="176"/>
      <c r="I2" s="176"/>
    </row>
    <row r="3" spans="1:27" ht="12.75" customHeight="1" x14ac:dyDescent="0.2"/>
    <row r="4" spans="1:27" ht="12.75" customHeight="1" x14ac:dyDescent="0.2"/>
    <row r="5" spans="1:27" ht="43.5" customHeight="1" x14ac:dyDescent="0.2">
      <c r="A5" s="174" t="s">
        <v>155</v>
      </c>
      <c r="B5" s="172"/>
      <c r="C5" s="172"/>
      <c r="D5" s="172"/>
      <c r="E5" s="172"/>
      <c r="F5" s="172"/>
      <c r="G5" s="172"/>
      <c r="H5" s="172"/>
      <c r="I5" s="172"/>
      <c r="J5" s="172"/>
      <c r="K5" s="173"/>
      <c r="L5" s="50"/>
    </row>
    <row r="6" spans="1:27" ht="15.75" customHeight="1" x14ac:dyDescent="0.2">
      <c r="A6" s="50"/>
      <c r="B6" s="50"/>
      <c r="C6" s="50"/>
      <c r="D6" s="50"/>
      <c r="E6" s="50"/>
      <c r="F6" s="50"/>
      <c r="G6" s="50"/>
      <c r="H6" s="50"/>
      <c r="I6" s="50"/>
      <c r="J6" s="50"/>
      <c r="K6" s="50"/>
      <c r="L6" s="50"/>
    </row>
    <row r="7" spans="1:27" ht="65.25" customHeight="1" x14ac:dyDescent="0.2">
      <c r="A7" s="72" t="s">
        <v>156</v>
      </c>
      <c r="B7" s="91" t="s">
        <v>157</v>
      </c>
      <c r="C7" s="51" t="s">
        <v>158</v>
      </c>
      <c r="D7" s="51" t="s">
        <v>159</v>
      </c>
      <c r="E7" s="51" t="s">
        <v>160</v>
      </c>
      <c r="F7" s="51" t="s">
        <v>161</v>
      </c>
      <c r="G7" s="52" t="s">
        <v>162</v>
      </c>
      <c r="H7" s="53" t="s">
        <v>163</v>
      </c>
      <c r="I7" s="51" t="s">
        <v>164</v>
      </c>
      <c r="J7" s="51" t="s">
        <v>165</v>
      </c>
      <c r="K7" s="51" t="s">
        <v>166</v>
      </c>
      <c r="L7" s="92" t="s">
        <v>167</v>
      </c>
      <c r="M7" s="12"/>
      <c r="N7" s="12"/>
      <c r="O7" s="12"/>
      <c r="P7" s="12"/>
      <c r="Q7" s="12"/>
      <c r="R7" s="12"/>
      <c r="S7" s="12"/>
      <c r="T7" s="12"/>
      <c r="U7" s="12"/>
      <c r="V7" s="12"/>
      <c r="W7" s="12"/>
      <c r="X7" s="12"/>
      <c r="Y7" s="12"/>
      <c r="Z7" s="12"/>
      <c r="AA7" s="12"/>
    </row>
    <row r="8" spans="1:27" ht="131.25" customHeight="1" x14ac:dyDescent="0.2">
      <c r="A8" s="72" t="s">
        <v>168</v>
      </c>
      <c r="B8" s="93" t="s">
        <v>85</v>
      </c>
      <c r="C8" s="55"/>
      <c r="D8" s="56" t="s">
        <v>169</v>
      </c>
      <c r="E8" s="57" t="s">
        <v>170</v>
      </c>
      <c r="F8" s="94">
        <v>1900900</v>
      </c>
      <c r="G8" s="94">
        <v>1900900</v>
      </c>
      <c r="H8" s="58">
        <f>F8/3900</f>
        <v>487.41025641025641</v>
      </c>
      <c r="I8" s="95">
        <f>H8*3900</f>
        <v>1900900</v>
      </c>
      <c r="J8" s="54" t="s">
        <v>171</v>
      </c>
      <c r="K8" s="59" t="s">
        <v>172</v>
      </c>
      <c r="L8" s="60" t="s">
        <v>173</v>
      </c>
    </row>
    <row r="9" spans="1:27" ht="135" customHeight="1" x14ac:dyDescent="0.2">
      <c r="A9" s="72" t="s">
        <v>174</v>
      </c>
      <c r="B9" s="96" t="s">
        <v>116</v>
      </c>
      <c r="C9" s="55"/>
      <c r="D9" s="56" t="s">
        <v>175</v>
      </c>
      <c r="E9" s="57" t="s">
        <v>176</v>
      </c>
      <c r="F9" s="94">
        <v>1810000</v>
      </c>
      <c r="G9" s="94">
        <v>1810000</v>
      </c>
      <c r="H9" s="58">
        <f>F9/3900</f>
        <v>464.10256410256409</v>
      </c>
      <c r="I9" s="95">
        <f>H9*3900</f>
        <v>1810000</v>
      </c>
      <c r="J9" s="54" t="s">
        <v>171</v>
      </c>
      <c r="K9" s="59" t="s">
        <v>177</v>
      </c>
      <c r="L9" s="60" t="s">
        <v>178</v>
      </c>
    </row>
    <row r="10" spans="1:27" ht="144" customHeight="1" x14ac:dyDescent="0.2">
      <c r="A10" s="72" t="s">
        <v>179</v>
      </c>
      <c r="B10" s="93" t="s">
        <v>180</v>
      </c>
      <c r="C10" s="55"/>
      <c r="D10" s="56" t="s">
        <v>181</v>
      </c>
      <c r="E10" s="57" t="s">
        <v>182</v>
      </c>
      <c r="F10" s="94">
        <v>1997910</v>
      </c>
      <c r="G10" s="94">
        <v>1997910</v>
      </c>
      <c r="H10" s="58">
        <f>F10/3900</f>
        <v>512.28461538461534</v>
      </c>
      <c r="I10" s="95">
        <f>H10*3900</f>
        <v>1997909.9999999998</v>
      </c>
      <c r="J10" s="54" t="s">
        <v>171</v>
      </c>
      <c r="K10" s="59" t="s">
        <v>183</v>
      </c>
      <c r="L10" s="60" t="s">
        <v>178</v>
      </c>
    </row>
    <row r="11" spans="1:27" ht="16.5" hidden="1" customHeight="1" x14ac:dyDescent="0.2">
      <c r="A11" s="14"/>
      <c r="B11" s="15"/>
      <c r="C11" s="15"/>
      <c r="D11" s="15"/>
      <c r="E11" s="15"/>
      <c r="F11" s="15"/>
      <c r="G11" s="15"/>
      <c r="H11" s="15"/>
      <c r="I11" s="15"/>
      <c r="J11" s="15"/>
      <c r="K11" s="15"/>
    </row>
    <row r="12" spans="1:27" ht="12.75" customHeight="1" x14ac:dyDescent="0.2">
      <c r="A12" s="16"/>
      <c r="B12" s="16"/>
      <c r="C12" s="16"/>
      <c r="D12" s="16"/>
      <c r="E12" s="16"/>
      <c r="F12" s="16"/>
      <c r="G12" s="16"/>
      <c r="H12" s="16"/>
      <c r="I12" s="16"/>
      <c r="J12" s="16"/>
      <c r="K12" s="16"/>
    </row>
    <row r="13" spans="1:27" ht="138.75" customHeight="1" x14ac:dyDescent="0.2">
      <c r="A13" s="177" t="s">
        <v>184</v>
      </c>
      <c r="B13" s="172"/>
      <c r="C13" s="172"/>
      <c r="D13" s="172"/>
      <c r="E13" s="172"/>
      <c r="F13" s="172"/>
      <c r="G13" s="172"/>
      <c r="H13" s="172"/>
      <c r="I13" s="172"/>
      <c r="J13" s="172"/>
      <c r="K13" s="173"/>
    </row>
    <row r="14" spans="1:27" ht="12.75" customHeight="1" x14ac:dyDescent="0.2"/>
    <row r="15" spans="1:27" ht="75" customHeight="1" x14ac:dyDescent="0.2">
      <c r="A15" s="171" t="s">
        <v>185</v>
      </c>
      <c r="B15" s="172"/>
      <c r="C15" s="172"/>
      <c r="D15" s="172"/>
      <c r="E15" s="172"/>
      <c r="F15" s="172"/>
      <c r="G15" s="172"/>
      <c r="H15" s="172"/>
      <c r="I15" s="172"/>
      <c r="J15" s="172"/>
      <c r="K15" s="173"/>
    </row>
    <row r="16" spans="1:27" ht="12.75" customHeight="1" x14ac:dyDescent="0.2"/>
    <row r="17" spans="1:8" ht="12.75" customHeight="1" x14ac:dyDescent="0.2"/>
    <row r="18" spans="1:8" ht="12.75" customHeight="1" x14ac:dyDescent="0.2"/>
    <row r="19" spans="1:8" ht="12.75" customHeight="1" x14ac:dyDescent="0.2">
      <c r="A19" s="18"/>
    </row>
    <row r="20" spans="1:8" ht="12.75" customHeight="1" x14ac:dyDescent="0.2"/>
    <row r="21" spans="1:8" ht="12.75" customHeight="1" x14ac:dyDescent="0.2"/>
    <row r="22" spans="1:8" ht="12.75" customHeight="1" x14ac:dyDescent="0.2"/>
    <row r="23" spans="1:8" ht="12.75" customHeight="1" x14ac:dyDescent="0.2"/>
    <row r="24" spans="1:8" ht="12.75" customHeight="1" x14ac:dyDescent="0.2"/>
    <row r="25" spans="1:8" ht="12.75" customHeight="1" x14ac:dyDescent="0.2"/>
    <row r="26" spans="1:8" ht="12.75" customHeight="1" x14ac:dyDescent="0.2">
      <c r="E26" s="20"/>
      <c r="F26" s="20"/>
      <c r="G26" s="8"/>
      <c r="H26" s="8"/>
    </row>
    <row r="27" spans="1:8" ht="12.75" customHeight="1" x14ac:dyDescent="0.2"/>
    <row r="28" spans="1:8" ht="12.75" customHeight="1" x14ac:dyDescent="0.2"/>
    <row r="29" spans="1:8" ht="12.75" customHeight="1" x14ac:dyDescent="0.2"/>
    <row r="30" spans="1:8" ht="12.75" customHeight="1" x14ac:dyDescent="0.2"/>
    <row r="31" spans="1:8" ht="12.75" customHeight="1" x14ac:dyDescent="0.2"/>
    <row r="32" spans="1: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K15"/>
    <mergeCell ref="A5:K5"/>
    <mergeCell ref="E2:I2"/>
    <mergeCell ref="A13:K13"/>
  </mergeCells>
  <hyperlinks>
    <hyperlink ref="D8" r:id="rId1" location="polycard_client=search-desktop&amp;float_highlight=last_units&amp;be_origin=backend&amp;overlay_label=not_apply&amp;search_layout=grid&amp;position=23&amp;type=product&amp;tracking_id=055d2b4a-9d52-4b40-a604-220bc3101db5&amp;wid=MCO1661594431&amp;sid=search" xr:uid="{00000000-0004-0000-0300-000000000000}"/>
    <hyperlink ref="D9" r:id="rId2" xr:uid="{00000000-0004-0000-0300-000001000000}"/>
    <hyperlink ref="D10" r:id="rId3" xr:uid="{00000000-0004-0000-0300-00000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6" zoomScale="66" workbookViewId="0">
      <selection activeCell="K8" sqref="K8"/>
    </sheetView>
  </sheetViews>
  <sheetFormatPr baseColWidth="10" defaultColWidth="12.5703125" defaultRowHeight="15" customHeight="1" x14ac:dyDescent="0.2"/>
  <cols>
    <col min="1" max="2" width="19.140625" style="71" customWidth="1"/>
    <col min="3" max="4" width="30.140625" style="71" customWidth="1"/>
    <col min="5" max="5" width="21.85546875" style="71" customWidth="1"/>
    <col min="6" max="7" width="17" style="71" customWidth="1"/>
    <col min="8" max="8" width="18" style="71" customWidth="1"/>
    <col min="9" max="9" width="17" style="71" customWidth="1"/>
    <col min="10" max="11" width="19.140625" style="71" customWidth="1"/>
    <col min="12" max="12" width="24" style="71" customWidth="1"/>
    <col min="13" max="26" width="10" style="71" customWidth="1"/>
  </cols>
  <sheetData>
    <row r="1" spans="1:26" ht="12.75" customHeight="1" x14ac:dyDescent="0.2"/>
    <row r="2" spans="1:26" ht="27.75" customHeight="1" x14ac:dyDescent="0.2">
      <c r="E2" s="175" t="s">
        <v>154</v>
      </c>
      <c r="F2" s="176"/>
      <c r="G2" s="176"/>
      <c r="H2" s="176"/>
      <c r="I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2"/>
      <c r="K5" s="173"/>
    </row>
    <row r="6" spans="1:26" ht="15.75" customHeight="1" x14ac:dyDescent="0.2"/>
    <row r="7" spans="1:26" ht="75.75" customHeight="1" x14ac:dyDescent="0.2">
      <c r="A7" s="72" t="s">
        <v>156</v>
      </c>
      <c r="B7" s="91" t="s">
        <v>157</v>
      </c>
      <c r="C7" s="61" t="s">
        <v>186</v>
      </c>
      <c r="D7" s="61" t="s">
        <v>159</v>
      </c>
      <c r="E7" s="61" t="s">
        <v>160</v>
      </c>
      <c r="F7" s="61" t="s">
        <v>161</v>
      </c>
      <c r="G7" s="62" t="s">
        <v>162</v>
      </c>
      <c r="H7" s="63" t="s">
        <v>163</v>
      </c>
      <c r="I7" s="61" t="s">
        <v>164</v>
      </c>
      <c r="J7" s="61" t="s">
        <v>165</v>
      </c>
      <c r="K7" s="61" t="s">
        <v>166</v>
      </c>
      <c r="L7" s="92" t="s">
        <v>167</v>
      </c>
      <c r="M7" s="12"/>
      <c r="N7" s="12"/>
      <c r="O7" s="12"/>
      <c r="P7" s="12"/>
      <c r="Q7" s="12"/>
      <c r="R7" s="12"/>
      <c r="S7" s="12"/>
      <c r="T7" s="12"/>
      <c r="U7" s="12"/>
      <c r="V7" s="12"/>
      <c r="W7" s="12"/>
      <c r="X7" s="12"/>
      <c r="Y7" s="12"/>
      <c r="Z7" s="12"/>
    </row>
    <row r="8" spans="1:26" ht="141" customHeight="1" x14ac:dyDescent="0.2">
      <c r="A8" s="72" t="s">
        <v>168</v>
      </c>
      <c r="B8" s="97" t="s">
        <v>85</v>
      </c>
      <c r="C8" s="64"/>
      <c r="D8" s="65" t="s">
        <v>187</v>
      </c>
      <c r="E8" s="66" t="s">
        <v>188</v>
      </c>
      <c r="F8" s="94">
        <v>239900</v>
      </c>
      <c r="G8" s="94">
        <v>239900</v>
      </c>
      <c r="H8" s="58">
        <f>F8/3900</f>
        <v>61.512820512820511</v>
      </c>
      <c r="I8" s="98">
        <f>H8*3900</f>
        <v>239900</v>
      </c>
      <c r="J8" s="54" t="s">
        <v>171</v>
      </c>
      <c r="K8" s="57" t="s">
        <v>189</v>
      </c>
      <c r="L8" s="60" t="s">
        <v>190</v>
      </c>
    </row>
    <row r="9" spans="1:26" ht="132.75" customHeight="1" x14ac:dyDescent="0.2">
      <c r="A9" s="72" t="s">
        <v>174</v>
      </c>
      <c r="B9" s="97" t="s">
        <v>191</v>
      </c>
      <c r="C9" s="67"/>
      <c r="D9" s="68" t="s">
        <v>192</v>
      </c>
      <c r="E9" s="59" t="s">
        <v>193</v>
      </c>
      <c r="F9" s="94">
        <v>299930</v>
      </c>
      <c r="G9" s="94">
        <v>299930</v>
      </c>
      <c r="H9" s="58">
        <f>F9/3900</f>
        <v>76.905128205128207</v>
      </c>
      <c r="I9" s="98">
        <f>H9*3900</f>
        <v>299930</v>
      </c>
      <c r="J9" s="54" t="s">
        <v>171</v>
      </c>
      <c r="K9" s="69" t="s">
        <v>194</v>
      </c>
      <c r="L9" s="60" t="s">
        <v>195</v>
      </c>
    </row>
    <row r="10" spans="1:26" ht="159" customHeight="1" x14ac:dyDescent="0.2">
      <c r="A10" s="72" t="s">
        <v>179</v>
      </c>
      <c r="B10" s="97" t="s">
        <v>196</v>
      </c>
      <c r="C10" s="70"/>
      <c r="D10" s="56" t="s">
        <v>197</v>
      </c>
      <c r="E10" s="57" t="s">
        <v>198</v>
      </c>
      <c r="F10" s="94">
        <v>310691</v>
      </c>
      <c r="G10" s="94">
        <v>310691</v>
      </c>
      <c r="H10" s="58">
        <f>F10/3900</f>
        <v>79.664358974358976</v>
      </c>
      <c r="I10" s="98">
        <f>H10*3900</f>
        <v>310691</v>
      </c>
      <c r="J10" s="54" t="s">
        <v>171</v>
      </c>
      <c r="K10" s="69" t="s">
        <v>199</v>
      </c>
      <c r="L10" s="60" t="s">
        <v>195</v>
      </c>
    </row>
    <row r="11" spans="1:26" hidden="1" x14ac:dyDescent="0.2">
      <c r="A11" s="17"/>
      <c r="B11" s="19"/>
      <c r="C11" s="19"/>
      <c r="D11" s="19"/>
      <c r="E11" s="19"/>
      <c r="F11" s="19"/>
      <c r="G11" s="19"/>
      <c r="H11" s="19"/>
      <c r="I11" s="19"/>
      <c r="J11" s="19"/>
      <c r="K11" s="19"/>
    </row>
    <row r="12" spans="1:26" ht="12.75" customHeight="1" x14ac:dyDescent="0.2"/>
    <row r="13" spans="1:26" ht="138.75" customHeight="1" x14ac:dyDescent="0.2">
      <c r="A13" s="177" t="s">
        <v>184</v>
      </c>
      <c r="B13" s="172"/>
      <c r="C13" s="172"/>
      <c r="D13" s="172"/>
      <c r="E13" s="172"/>
      <c r="F13" s="172"/>
      <c r="G13" s="172"/>
      <c r="H13" s="172"/>
      <c r="I13" s="172"/>
      <c r="J13" s="172"/>
      <c r="K13" s="173"/>
    </row>
    <row r="14" spans="1:26" ht="12.75" customHeight="1" x14ac:dyDescent="0.2"/>
    <row r="15" spans="1:26" ht="75" customHeight="1" x14ac:dyDescent="0.2">
      <c r="A15" s="171" t="s">
        <v>185</v>
      </c>
      <c r="B15" s="172"/>
      <c r="C15" s="172"/>
      <c r="D15" s="172"/>
      <c r="E15" s="172"/>
      <c r="F15" s="172"/>
      <c r="G15" s="172"/>
      <c r="H15" s="172"/>
      <c r="I15" s="172"/>
      <c r="J15" s="172"/>
      <c r="K15" s="173"/>
    </row>
    <row r="16" spans="1:26"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K15"/>
    <mergeCell ref="A5:K5"/>
    <mergeCell ref="E2:I2"/>
    <mergeCell ref="A13:K13"/>
  </mergeCells>
  <hyperlinks>
    <hyperlink ref="D8" r:id="rId1" xr:uid="{00000000-0004-0000-0400-000000000000}"/>
    <hyperlink ref="D9" r:id="rId2" xr:uid="{00000000-0004-0000-0400-000001000000}"/>
    <hyperlink ref="D10" r:id="rId3" xr:uid="{00000000-0004-0000-04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9" workbookViewId="0"/>
  </sheetViews>
  <sheetFormatPr baseColWidth="10" defaultColWidth="12.5703125" defaultRowHeight="15" customHeight="1" x14ac:dyDescent="0.2"/>
  <cols>
    <col min="1" max="2" width="19.140625" style="71" customWidth="1"/>
    <col min="3" max="4" width="32.5703125" style="71" customWidth="1"/>
    <col min="5" max="5" width="21.85546875" style="71" customWidth="1"/>
    <col min="6" max="7" width="17" style="71" customWidth="1"/>
    <col min="8" max="8" width="18" style="71" customWidth="1"/>
    <col min="9" max="9" width="17" style="71" customWidth="1"/>
    <col min="10" max="10" width="19.140625" style="71" customWidth="1"/>
    <col min="11" max="11" width="22" style="71" customWidth="1"/>
    <col min="12" max="12" width="28.5703125" style="71" customWidth="1"/>
    <col min="13" max="26" width="10" style="71" customWidth="1"/>
  </cols>
  <sheetData>
    <row r="1" spans="1:26" ht="12.75" customHeight="1" x14ac:dyDescent="0.2">
      <c r="L1" s="21"/>
    </row>
    <row r="2" spans="1:26" ht="27.75" customHeight="1" x14ac:dyDescent="0.2">
      <c r="E2" s="175" t="s">
        <v>154</v>
      </c>
      <c r="F2" s="176"/>
      <c r="G2" s="176"/>
      <c r="H2" s="176"/>
      <c r="I2" s="176"/>
      <c r="L2" s="21"/>
    </row>
    <row r="3" spans="1:26" ht="12.75" customHeight="1" x14ac:dyDescent="0.2">
      <c r="L3" s="21"/>
    </row>
    <row r="4" spans="1:26" ht="12.75" customHeight="1" x14ac:dyDescent="0.2">
      <c r="L4" s="21"/>
    </row>
    <row r="5" spans="1:26" ht="43.5" customHeight="1" x14ac:dyDescent="0.2">
      <c r="A5" s="178" t="s">
        <v>155</v>
      </c>
      <c r="B5" s="172"/>
      <c r="C5" s="172"/>
      <c r="D5" s="172"/>
      <c r="E5" s="172"/>
      <c r="F5" s="172"/>
      <c r="G5" s="172"/>
      <c r="H5" s="172"/>
      <c r="I5" s="172"/>
      <c r="J5" s="172"/>
      <c r="K5" s="173"/>
      <c r="L5" s="21"/>
    </row>
    <row r="6" spans="1:26" ht="15.75" customHeight="1" x14ac:dyDescent="0.2">
      <c r="L6" s="21"/>
    </row>
    <row r="7" spans="1:26" ht="75.75" customHeight="1" x14ac:dyDescent="0.2">
      <c r="A7" s="99" t="s">
        <v>156</v>
      </c>
      <c r="B7" s="100" t="s">
        <v>157</v>
      </c>
      <c r="C7" s="101" t="s">
        <v>200</v>
      </c>
      <c r="D7" s="101" t="s">
        <v>159</v>
      </c>
      <c r="E7" s="101" t="s">
        <v>160</v>
      </c>
      <c r="F7" s="101" t="s">
        <v>161</v>
      </c>
      <c r="G7" s="102" t="s">
        <v>162</v>
      </c>
      <c r="H7" s="22" t="s">
        <v>163</v>
      </c>
      <c r="I7" s="101" t="s">
        <v>164</v>
      </c>
      <c r="J7" s="101" t="s">
        <v>165</v>
      </c>
      <c r="K7" s="101" t="s">
        <v>166</v>
      </c>
      <c r="L7" s="103" t="s">
        <v>167</v>
      </c>
      <c r="M7" s="12"/>
      <c r="N7" s="12"/>
      <c r="O7" s="12"/>
      <c r="P7" s="12"/>
      <c r="Q7" s="12"/>
      <c r="R7" s="12"/>
      <c r="S7" s="12"/>
      <c r="T7" s="12"/>
      <c r="U7" s="12"/>
      <c r="V7" s="12"/>
      <c r="W7" s="12"/>
      <c r="X7" s="12"/>
      <c r="Y7" s="12"/>
      <c r="Z7" s="12"/>
    </row>
    <row r="8" spans="1:26" ht="133.5" customHeight="1" x14ac:dyDescent="0.2">
      <c r="A8" s="73" t="s">
        <v>168</v>
      </c>
      <c r="B8" s="104" t="s">
        <v>85</v>
      </c>
      <c r="C8" s="23"/>
      <c r="D8" s="105" t="s">
        <v>187</v>
      </c>
      <c r="E8" s="106" t="s">
        <v>201</v>
      </c>
      <c r="F8" s="107">
        <v>277517</v>
      </c>
      <c r="G8" s="107">
        <v>277517</v>
      </c>
      <c r="H8" s="108">
        <f>F8/3900</f>
        <v>71.158205128205125</v>
      </c>
      <c r="I8" s="109">
        <f>H8*3900</f>
        <v>277517</v>
      </c>
      <c r="J8" s="110" t="s">
        <v>171</v>
      </c>
      <c r="K8" s="111" t="s">
        <v>202</v>
      </c>
      <c r="L8" s="112" t="s">
        <v>173</v>
      </c>
    </row>
    <row r="9" spans="1:26" ht="140.25" customHeight="1" x14ac:dyDescent="0.2">
      <c r="A9" s="73" t="s">
        <v>174</v>
      </c>
      <c r="B9" s="113" t="s">
        <v>85</v>
      </c>
      <c r="C9" s="24"/>
      <c r="D9" s="105" t="s">
        <v>203</v>
      </c>
      <c r="E9" s="114" t="s">
        <v>204</v>
      </c>
      <c r="F9" s="107">
        <v>329107</v>
      </c>
      <c r="G9" s="107">
        <v>329107</v>
      </c>
      <c r="H9" s="108">
        <f>F9/3900</f>
        <v>84.386410256410258</v>
      </c>
      <c r="I9" s="109">
        <f>H9*3900</f>
        <v>329107</v>
      </c>
      <c r="J9" s="110" t="s">
        <v>171</v>
      </c>
      <c r="K9" s="114" t="s">
        <v>205</v>
      </c>
      <c r="L9" s="112" t="s">
        <v>190</v>
      </c>
    </row>
    <row r="10" spans="1:26" ht="138.75" customHeight="1" x14ac:dyDescent="0.2">
      <c r="A10" s="73" t="s">
        <v>179</v>
      </c>
      <c r="B10" s="179" t="s">
        <v>85</v>
      </c>
      <c r="C10" s="23"/>
      <c r="D10" s="105" t="s">
        <v>206</v>
      </c>
      <c r="E10" s="111" t="s">
        <v>207</v>
      </c>
      <c r="F10" s="181">
        <v>320000</v>
      </c>
      <c r="G10" s="181">
        <v>320000</v>
      </c>
      <c r="H10" s="108">
        <f>F10/3900</f>
        <v>82.051282051282058</v>
      </c>
      <c r="I10" s="109">
        <f>H10*3900</f>
        <v>320000</v>
      </c>
      <c r="J10" s="110" t="s">
        <v>171</v>
      </c>
      <c r="K10" s="114" t="s">
        <v>208</v>
      </c>
      <c r="L10" s="112" t="s">
        <v>190</v>
      </c>
    </row>
    <row r="11" spans="1:26" ht="18" hidden="1" customHeight="1" x14ac:dyDescent="0.25">
      <c r="A11" s="26"/>
      <c r="B11" s="180"/>
      <c r="C11" s="74"/>
      <c r="D11" s="110">
        <v>3008921440</v>
      </c>
      <c r="E11" s="27"/>
      <c r="F11" s="180"/>
      <c r="G11" s="180"/>
      <c r="H11" s="28"/>
      <c r="I11" s="28"/>
      <c r="J11" s="28"/>
      <c r="K11" s="28"/>
      <c r="L11" s="26"/>
    </row>
    <row r="12" spans="1:26" ht="12.75" customHeight="1" x14ac:dyDescent="0.2">
      <c r="L12" s="21"/>
    </row>
    <row r="13" spans="1:26" ht="138.75" customHeight="1" x14ac:dyDescent="0.2">
      <c r="A13" s="177" t="s">
        <v>184</v>
      </c>
      <c r="B13" s="172"/>
      <c r="C13" s="172"/>
      <c r="D13" s="172"/>
      <c r="E13" s="172"/>
      <c r="F13" s="172"/>
      <c r="G13" s="172"/>
      <c r="H13" s="172"/>
      <c r="I13" s="172"/>
      <c r="J13" s="172"/>
      <c r="K13" s="173"/>
      <c r="L13" s="21"/>
    </row>
    <row r="14" spans="1:26" ht="12.75" customHeight="1" x14ac:dyDescent="0.2">
      <c r="L14" s="21"/>
    </row>
    <row r="15" spans="1:26" ht="75" customHeight="1" x14ac:dyDescent="0.2">
      <c r="A15" s="171" t="s">
        <v>185</v>
      </c>
      <c r="B15" s="172"/>
      <c r="C15" s="172"/>
      <c r="D15" s="172"/>
      <c r="E15" s="172"/>
      <c r="F15" s="172"/>
      <c r="G15" s="172"/>
      <c r="H15" s="172"/>
      <c r="I15" s="172"/>
      <c r="J15" s="172"/>
      <c r="K15" s="173"/>
      <c r="L15" s="21"/>
    </row>
    <row r="16" spans="1:26" ht="12.75" customHeight="1" x14ac:dyDescent="0.2">
      <c r="L16" s="21"/>
    </row>
    <row r="17" spans="5:12" ht="12.75" customHeight="1" x14ac:dyDescent="0.2">
      <c r="L17" s="21"/>
    </row>
    <row r="18" spans="5:12" ht="12.75" customHeight="1" x14ac:dyDescent="0.2">
      <c r="L18" s="21"/>
    </row>
    <row r="19" spans="5:12" ht="12.75" customHeight="1" x14ac:dyDescent="0.2">
      <c r="L19" s="21"/>
    </row>
    <row r="20" spans="5:12" ht="12.75" customHeight="1" x14ac:dyDescent="0.2">
      <c r="L20" s="21"/>
    </row>
    <row r="21" spans="5:12" ht="12.75" customHeight="1" x14ac:dyDescent="0.2">
      <c r="L21" s="21"/>
    </row>
    <row r="22" spans="5:12" ht="12.75" customHeight="1" x14ac:dyDescent="0.2">
      <c r="L22" s="21"/>
    </row>
    <row r="23" spans="5:12" ht="12.75" customHeight="1" x14ac:dyDescent="0.2">
      <c r="L23" s="21"/>
    </row>
    <row r="24" spans="5:12" ht="12.75" customHeight="1" x14ac:dyDescent="0.2">
      <c r="L24" s="21"/>
    </row>
    <row r="25" spans="5:12" ht="12.75" customHeight="1" x14ac:dyDescent="0.2">
      <c r="L25" s="21"/>
    </row>
    <row r="26" spans="5:12" ht="12.75" customHeight="1" x14ac:dyDescent="0.2">
      <c r="E26" s="20"/>
      <c r="F26" s="20"/>
      <c r="G26" s="8"/>
      <c r="H26" s="8"/>
      <c r="L26" s="21"/>
    </row>
    <row r="27" spans="5:12" ht="12.75" customHeight="1" x14ac:dyDescent="0.2">
      <c r="L27" s="21"/>
    </row>
    <row r="28" spans="5:12" ht="12.75" customHeight="1" x14ac:dyDescent="0.2">
      <c r="L28" s="21"/>
    </row>
    <row r="29" spans="5:12" ht="12.75" customHeight="1" x14ac:dyDescent="0.2">
      <c r="L29" s="21"/>
    </row>
    <row r="30" spans="5:12" ht="12.75" customHeight="1" x14ac:dyDescent="0.2">
      <c r="L30" s="21"/>
    </row>
    <row r="31" spans="5:12" ht="12.75" customHeight="1" x14ac:dyDescent="0.2">
      <c r="L31" s="21"/>
    </row>
    <row r="32" spans="5:12" ht="12.75" customHeight="1" x14ac:dyDescent="0.2">
      <c r="L32" s="21"/>
    </row>
    <row r="33" spans="12:12" ht="12.75" customHeight="1" x14ac:dyDescent="0.2">
      <c r="L33" s="21"/>
    </row>
    <row r="34" spans="12:12" ht="12.75" customHeight="1" x14ac:dyDescent="0.2">
      <c r="L34" s="21"/>
    </row>
    <row r="35" spans="12:12" ht="12.75" customHeight="1" x14ac:dyDescent="0.2">
      <c r="L35" s="21"/>
    </row>
    <row r="36" spans="12:12" ht="12.75" customHeight="1" x14ac:dyDescent="0.2">
      <c r="L36" s="21"/>
    </row>
    <row r="37" spans="12:12" ht="12.75" customHeight="1" x14ac:dyDescent="0.2">
      <c r="L37" s="21"/>
    </row>
    <row r="38" spans="12:12" ht="12.75" customHeight="1" x14ac:dyDescent="0.2">
      <c r="L38" s="21"/>
    </row>
    <row r="39" spans="12:12" ht="12.75" customHeight="1" x14ac:dyDescent="0.2">
      <c r="L39" s="21"/>
    </row>
    <row r="40" spans="12:12" ht="12.75" customHeight="1" x14ac:dyDescent="0.2">
      <c r="L40" s="21"/>
    </row>
    <row r="41" spans="12:12" ht="12.75" customHeight="1" x14ac:dyDescent="0.2">
      <c r="L41" s="21"/>
    </row>
    <row r="42" spans="12:12" ht="12.75" customHeight="1" x14ac:dyDescent="0.2">
      <c r="L42" s="21"/>
    </row>
    <row r="43" spans="12:12" ht="12.75" customHeight="1" x14ac:dyDescent="0.2">
      <c r="L43" s="21"/>
    </row>
    <row r="44" spans="12:12" ht="12.75" customHeight="1" x14ac:dyDescent="0.2">
      <c r="L44" s="21"/>
    </row>
    <row r="45" spans="12:12" ht="12.75" customHeight="1" x14ac:dyDescent="0.2">
      <c r="L45" s="21"/>
    </row>
    <row r="46" spans="12:12" ht="12.75" customHeight="1" x14ac:dyDescent="0.2">
      <c r="L46" s="21"/>
    </row>
    <row r="47" spans="12:12" ht="12.75" customHeight="1" x14ac:dyDescent="0.2">
      <c r="L47" s="21"/>
    </row>
    <row r="48" spans="12:12" ht="12.75" customHeight="1" x14ac:dyDescent="0.2">
      <c r="L48" s="21"/>
    </row>
    <row r="49" spans="12:12" ht="12.75" customHeight="1" x14ac:dyDescent="0.2">
      <c r="L49" s="21"/>
    </row>
    <row r="50" spans="12:12" ht="12.75" customHeight="1" x14ac:dyDescent="0.2">
      <c r="L50" s="21"/>
    </row>
    <row r="51" spans="12:12" ht="12.75" customHeight="1" x14ac:dyDescent="0.2">
      <c r="L51" s="21"/>
    </row>
    <row r="52" spans="12:12" ht="12.75" customHeight="1" x14ac:dyDescent="0.2">
      <c r="L52" s="21"/>
    </row>
    <row r="53" spans="12:12" ht="12.75" customHeight="1" x14ac:dyDescent="0.2">
      <c r="L53" s="21"/>
    </row>
    <row r="54" spans="12:12" ht="12.75" customHeight="1" x14ac:dyDescent="0.2">
      <c r="L54" s="21"/>
    </row>
    <row r="55" spans="12:12" ht="12.75" customHeight="1" x14ac:dyDescent="0.2">
      <c r="L55" s="21"/>
    </row>
    <row r="56" spans="12:12" ht="12.75" customHeight="1" x14ac:dyDescent="0.2">
      <c r="L56" s="21"/>
    </row>
    <row r="57" spans="12:12" ht="12.75" customHeight="1" x14ac:dyDescent="0.2">
      <c r="L57" s="21"/>
    </row>
    <row r="58" spans="12:12" ht="12.75" customHeight="1" x14ac:dyDescent="0.2">
      <c r="L58" s="21"/>
    </row>
    <row r="59" spans="12:12" ht="12.75" customHeight="1" x14ac:dyDescent="0.2">
      <c r="L59" s="21"/>
    </row>
    <row r="60" spans="12:12" ht="12.75" customHeight="1" x14ac:dyDescent="0.2">
      <c r="L60" s="21"/>
    </row>
    <row r="61" spans="12:12" ht="12.75" customHeight="1" x14ac:dyDescent="0.2">
      <c r="L61" s="21"/>
    </row>
    <row r="62" spans="12:12" ht="12.75" customHeight="1" x14ac:dyDescent="0.2">
      <c r="L62" s="21"/>
    </row>
    <row r="63" spans="12:12" ht="12.75" customHeight="1" x14ac:dyDescent="0.2">
      <c r="L63" s="21"/>
    </row>
    <row r="64" spans="12:12" ht="12.75" customHeight="1" x14ac:dyDescent="0.2">
      <c r="L64" s="21"/>
    </row>
    <row r="65" spans="12:12" ht="12.75" customHeight="1" x14ac:dyDescent="0.2">
      <c r="L65" s="21"/>
    </row>
    <row r="66" spans="12:12" ht="12.75" customHeight="1" x14ac:dyDescent="0.2">
      <c r="L66" s="21"/>
    </row>
    <row r="67" spans="12:12" ht="12.75" customHeight="1" x14ac:dyDescent="0.2">
      <c r="L67" s="21"/>
    </row>
    <row r="68" spans="12:12" ht="12.75" customHeight="1" x14ac:dyDescent="0.2">
      <c r="L68" s="21"/>
    </row>
    <row r="69" spans="12:12" ht="12.75" customHeight="1" x14ac:dyDescent="0.2">
      <c r="L69" s="21"/>
    </row>
    <row r="70" spans="12:12" ht="12.75" customHeight="1" x14ac:dyDescent="0.2">
      <c r="L70" s="21"/>
    </row>
    <row r="71" spans="12:12" ht="12.75" customHeight="1" x14ac:dyDescent="0.2">
      <c r="L71" s="21"/>
    </row>
    <row r="72" spans="12:12" ht="12.75" customHeight="1" x14ac:dyDescent="0.2">
      <c r="L72" s="21"/>
    </row>
    <row r="73" spans="12:12" ht="12.75" customHeight="1" x14ac:dyDescent="0.2">
      <c r="L73" s="21"/>
    </row>
    <row r="74" spans="12:12" ht="12.75" customHeight="1" x14ac:dyDescent="0.2">
      <c r="L74" s="21"/>
    </row>
    <row r="75" spans="12:12" ht="12.75" customHeight="1" x14ac:dyDescent="0.2">
      <c r="L75" s="21"/>
    </row>
    <row r="76" spans="12:12" ht="12.75" customHeight="1" x14ac:dyDescent="0.2">
      <c r="L76" s="21"/>
    </row>
    <row r="77" spans="12:12" ht="12.75" customHeight="1" x14ac:dyDescent="0.2">
      <c r="L77" s="21"/>
    </row>
    <row r="78" spans="12:12" ht="12.75" customHeight="1" x14ac:dyDescent="0.2">
      <c r="L78" s="21"/>
    </row>
    <row r="79" spans="12:12" ht="12.75" customHeight="1" x14ac:dyDescent="0.2">
      <c r="L79" s="21"/>
    </row>
    <row r="80" spans="12:12" ht="12.75" customHeight="1" x14ac:dyDescent="0.2">
      <c r="L80" s="21"/>
    </row>
    <row r="81" spans="12:12" ht="12.75" customHeight="1" x14ac:dyDescent="0.2">
      <c r="L81" s="21"/>
    </row>
    <row r="82" spans="12:12" ht="12.75" customHeight="1" x14ac:dyDescent="0.2">
      <c r="L82" s="21"/>
    </row>
    <row r="83" spans="12:12" ht="12.75" customHeight="1" x14ac:dyDescent="0.2">
      <c r="L83" s="21"/>
    </row>
    <row r="84" spans="12:12" ht="12.75" customHeight="1" x14ac:dyDescent="0.2">
      <c r="L84" s="21"/>
    </row>
    <row r="85" spans="12:12" ht="12.75" customHeight="1" x14ac:dyDescent="0.2">
      <c r="L85" s="21"/>
    </row>
    <row r="86" spans="12:12" ht="12.75" customHeight="1" x14ac:dyDescent="0.2">
      <c r="L86" s="21"/>
    </row>
    <row r="87" spans="12:12" ht="12.75" customHeight="1" x14ac:dyDescent="0.2">
      <c r="L87" s="21"/>
    </row>
    <row r="88" spans="12:12" ht="12.75" customHeight="1" x14ac:dyDescent="0.2">
      <c r="L88" s="21"/>
    </row>
    <row r="89" spans="12:12" ht="12.75" customHeight="1" x14ac:dyDescent="0.2">
      <c r="L89" s="21"/>
    </row>
    <row r="90" spans="12:12" ht="12.75" customHeight="1" x14ac:dyDescent="0.2">
      <c r="L90" s="21"/>
    </row>
    <row r="91" spans="12:12" ht="12.75" customHeight="1" x14ac:dyDescent="0.2">
      <c r="L91" s="21"/>
    </row>
    <row r="92" spans="12:12" ht="12.75" customHeight="1" x14ac:dyDescent="0.2">
      <c r="L92" s="21"/>
    </row>
    <row r="93" spans="12:12" ht="12.75" customHeight="1" x14ac:dyDescent="0.2">
      <c r="L93" s="21"/>
    </row>
    <row r="94" spans="12:12" ht="12.75" customHeight="1" x14ac:dyDescent="0.2">
      <c r="L94" s="21"/>
    </row>
    <row r="95" spans="12:12" ht="12.75" customHeight="1" x14ac:dyDescent="0.2">
      <c r="L95" s="21"/>
    </row>
    <row r="96" spans="12:12" ht="12.75" customHeight="1" x14ac:dyDescent="0.2">
      <c r="L96" s="21"/>
    </row>
    <row r="97" spans="12:12" ht="12.75" customHeight="1" x14ac:dyDescent="0.2">
      <c r="L97" s="21"/>
    </row>
    <row r="98" spans="12:12" ht="12.75" customHeight="1" x14ac:dyDescent="0.2">
      <c r="L98" s="21"/>
    </row>
    <row r="99" spans="12:12" ht="12.75" customHeight="1" x14ac:dyDescent="0.2">
      <c r="L99" s="21"/>
    </row>
    <row r="100" spans="12:12" ht="12.75" customHeight="1" x14ac:dyDescent="0.2">
      <c r="L100" s="21"/>
    </row>
    <row r="101" spans="12:12" ht="12.75" customHeight="1" x14ac:dyDescent="0.2">
      <c r="L101" s="21"/>
    </row>
    <row r="102" spans="12:12" ht="12.75" customHeight="1" x14ac:dyDescent="0.2">
      <c r="L102" s="21"/>
    </row>
    <row r="103" spans="12:12" ht="12.75" customHeight="1" x14ac:dyDescent="0.2">
      <c r="L103" s="21"/>
    </row>
    <row r="104" spans="12:12" ht="12.75" customHeight="1" x14ac:dyDescent="0.2">
      <c r="L104" s="21"/>
    </row>
    <row r="105" spans="12:12" ht="12.75" customHeight="1" x14ac:dyDescent="0.2">
      <c r="L105" s="21"/>
    </row>
    <row r="106" spans="12:12" ht="12.75" customHeight="1" x14ac:dyDescent="0.2">
      <c r="L106" s="21"/>
    </row>
    <row r="107" spans="12:12" ht="12.75" customHeight="1" x14ac:dyDescent="0.2">
      <c r="L107" s="21"/>
    </row>
    <row r="108" spans="12:12" ht="12.75" customHeight="1" x14ac:dyDescent="0.2">
      <c r="L108" s="21"/>
    </row>
    <row r="109" spans="12:12" ht="12.75" customHeight="1" x14ac:dyDescent="0.2">
      <c r="L109" s="21"/>
    </row>
    <row r="110" spans="12:12" ht="12.75" customHeight="1" x14ac:dyDescent="0.2">
      <c r="L110" s="21"/>
    </row>
    <row r="111" spans="12:12" ht="12.75" customHeight="1" x14ac:dyDescent="0.2">
      <c r="L111" s="21"/>
    </row>
    <row r="112" spans="12:12" ht="12.75" customHeight="1" x14ac:dyDescent="0.2">
      <c r="L112" s="21"/>
    </row>
    <row r="113" spans="12:12" ht="12.75" customHeight="1" x14ac:dyDescent="0.2">
      <c r="L113" s="21"/>
    </row>
    <row r="114" spans="12:12" ht="12.75" customHeight="1" x14ac:dyDescent="0.2">
      <c r="L114" s="21"/>
    </row>
    <row r="115" spans="12:12" ht="12.75" customHeight="1" x14ac:dyDescent="0.2">
      <c r="L115" s="21"/>
    </row>
    <row r="116" spans="12:12" ht="12.75" customHeight="1" x14ac:dyDescent="0.2">
      <c r="L116" s="21"/>
    </row>
    <row r="117" spans="12:12" ht="12.75" customHeight="1" x14ac:dyDescent="0.2">
      <c r="L117" s="21"/>
    </row>
    <row r="118" spans="12:12" ht="12.75" customHeight="1" x14ac:dyDescent="0.2">
      <c r="L118" s="21"/>
    </row>
    <row r="119" spans="12:12" ht="12.75" customHeight="1" x14ac:dyDescent="0.2">
      <c r="L119" s="21"/>
    </row>
    <row r="120" spans="12:12" ht="12.75" customHeight="1" x14ac:dyDescent="0.2">
      <c r="L120" s="21"/>
    </row>
    <row r="121" spans="12:12" ht="12.75" customHeight="1" x14ac:dyDescent="0.2">
      <c r="L121" s="21"/>
    </row>
    <row r="122" spans="12:12" ht="12.75" customHeight="1" x14ac:dyDescent="0.2">
      <c r="L122" s="21"/>
    </row>
    <row r="123" spans="12:12" ht="12.75" customHeight="1" x14ac:dyDescent="0.2">
      <c r="L123" s="21"/>
    </row>
    <row r="124" spans="12:12" ht="12.75" customHeight="1" x14ac:dyDescent="0.2">
      <c r="L124" s="21"/>
    </row>
    <row r="125" spans="12:12" ht="12.75" customHeight="1" x14ac:dyDescent="0.2">
      <c r="L125" s="21"/>
    </row>
    <row r="126" spans="12:12" ht="12.75" customHeight="1" x14ac:dyDescent="0.2">
      <c r="L126" s="21"/>
    </row>
    <row r="127" spans="12:12" ht="12.75" customHeight="1" x14ac:dyDescent="0.2">
      <c r="L127" s="21"/>
    </row>
    <row r="128" spans="12:12" ht="12.75" customHeight="1" x14ac:dyDescent="0.2">
      <c r="L128" s="21"/>
    </row>
    <row r="129" spans="12:12" ht="12.75" customHeight="1" x14ac:dyDescent="0.2">
      <c r="L129" s="21"/>
    </row>
    <row r="130" spans="12:12" ht="12.75" customHeight="1" x14ac:dyDescent="0.2">
      <c r="L130" s="21"/>
    </row>
    <row r="131" spans="12:12" ht="12.75" customHeight="1" x14ac:dyDescent="0.2">
      <c r="L131" s="21"/>
    </row>
    <row r="132" spans="12:12" ht="12.75" customHeight="1" x14ac:dyDescent="0.2">
      <c r="L132" s="21"/>
    </row>
    <row r="133" spans="12:12" ht="12.75" customHeight="1" x14ac:dyDescent="0.2">
      <c r="L133" s="21"/>
    </row>
    <row r="134" spans="12:12" ht="12.75" customHeight="1" x14ac:dyDescent="0.2">
      <c r="L134" s="21"/>
    </row>
    <row r="135" spans="12:12" ht="12.75" customHeight="1" x14ac:dyDescent="0.2">
      <c r="L135" s="21"/>
    </row>
    <row r="136" spans="12:12" ht="12.75" customHeight="1" x14ac:dyDescent="0.2">
      <c r="L136" s="21"/>
    </row>
    <row r="137" spans="12:12" ht="12.75" customHeight="1" x14ac:dyDescent="0.2">
      <c r="L137" s="21"/>
    </row>
    <row r="138" spans="12:12" ht="12.75" customHeight="1" x14ac:dyDescent="0.2">
      <c r="L138" s="21"/>
    </row>
    <row r="139" spans="12:12" ht="12.75" customHeight="1" x14ac:dyDescent="0.2">
      <c r="L139" s="21"/>
    </row>
    <row r="140" spans="12:12" ht="12.75" customHeight="1" x14ac:dyDescent="0.2">
      <c r="L140" s="21"/>
    </row>
    <row r="141" spans="12:12" ht="12.75" customHeight="1" x14ac:dyDescent="0.2">
      <c r="L141" s="21"/>
    </row>
    <row r="142" spans="12:12" ht="12.75" customHeight="1" x14ac:dyDescent="0.2">
      <c r="L142" s="21"/>
    </row>
    <row r="143" spans="12:12" ht="12.75" customHeight="1" x14ac:dyDescent="0.2">
      <c r="L143" s="21"/>
    </row>
    <row r="144" spans="12:12" ht="12.75" customHeight="1" x14ac:dyDescent="0.2">
      <c r="L144" s="21"/>
    </row>
    <row r="145" spans="12:12" ht="12.75" customHeight="1" x14ac:dyDescent="0.2">
      <c r="L145" s="21"/>
    </row>
    <row r="146" spans="12:12" ht="12.75" customHeight="1" x14ac:dyDescent="0.2">
      <c r="L146" s="21"/>
    </row>
    <row r="147" spans="12:12" ht="12.75" customHeight="1" x14ac:dyDescent="0.2">
      <c r="L147" s="21"/>
    </row>
    <row r="148" spans="12:12" ht="12.75" customHeight="1" x14ac:dyDescent="0.2">
      <c r="L148" s="21"/>
    </row>
    <row r="149" spans="12:12" ht="12.75" customHeight="1" x14ac:dyDescent="0.2">
      <c r="L149" s="21"/>
    </row>
    <row r="150" spans="12:12" ht="12.75" customHeight="1" x14ac:dyDescent="0.2">
      <c r="L150" s="21"/>
    </row>
    <row r="151" spans="12:12" ht="12.75" customHeight="1" x14ac:dyDescent="0.2">
      <c r="L151" s="21"/>
    </row>
    <row r="152" spans="12:12" ht="12.75" customHeight="1" x14ac:dyDescent="0.2">
      <c r="L152" s="21"/>
    </row>
    <row r="153" spans="12:12" ht="12.75" customHeight="1" x14ac:dyDescent="0.2">
      <c r="L153" s="21"/>
    </row>
    <row r="154" spans="12:12" ht="12.75" customHeight="1" x14ac:dyDescent="0.2">
      <c r="L154" s="21"/>
    </row>
    <row r="155" spans="12:12" ht="12.75" customHeight="1" x14ac:dyDescent="0.2">
      <c r="L155" s="21"/>
    </row>
    <row r="156" spans="12:12" ht="12.75" customHeight="1" x14ac:dyDescent="0.2">
      <c r="L156" s="21"/>
    </row>
    <row r="157" spans="12:12" ht="12.75" customHeight="1" x14ac:dyDescent="0.2">
      <c r="L157" s="21"/>
    </row>
    <row r="158" spans="12:12" ht="12.75" customHeight="1" x14ac:dyDescent="0.2">
      <c r="L158" s="21"/>
    </row>
    <row r="159" spans="12:12" ht="12.75" customHeight="1" x14ac:dyDescent="0.2">
      <c r="L159" s="21"/>
    </row>
    <row r="160" spans="12:12" ht="12.75" customHeight="1" x14ac:dyDescent="0.2">
      <c r="L160" s="21"/>
    </row>
    <row r="161" spans="12:12" ht="12.75" customHeight="1" x14ac:dyDescent="0.2">
      <c r="L161" s="21"/>
    </row>
    <row r="162" spans="12:12" ht="12.75" customHeight="1" x14ac:dyDescent="0.2">
      <c r="L162" s="21"/>
    </row>
    <row r="163" spans="12:12" ht="12.75" customHeight="1" x14ac:dyDescent="0.2">
      <c r="L163" s="21"/>
    </row>
    <row r="164" spans="12:12" ht="12.75" customHeight="1" x14ac:dyDescent="0.2">
      <c r="L164" s="21"/>
    </row>
    <row r="165" spans="12:12" ht="12.75" customHeight="1" x14ac:dyDescent="0.2">
      <c r="L165" s="21"/>
    </row>
    <row r="166" spans="12:12" ht="12.75" customHeight="1" x14ac:dyDescent="0.2">
      <c r="L166" s="21"/>
    </row>
    <row r="167" spans="12:12" ht="12.75" customHeight="1" x14ac:dyDescent="0.2">
      <c r="L167" s="21"/>
    </row>
    <row r="168" spans="12:12" ht="12.75" customHeight="1" x14ac:dyDescent="0.2">
      <c r="L168" s="21"/>
    </row>
    <row r="169" spans="12:12" ht="12.75" customHeight="1" x14ac:dyDescent="0.2">
      <c r="L169" s="21"/>
    </row>
    <row r="170" spans="12:12" ht="12.75" customHeight="1" x14ac:dyDescent="0.2">
      <c r="L170" s="21"/>
    </row>
    <row r="171" spans="12:12" ht="12.75" customHeight="1" x14ac:dyDescent="0.2">
      <c r="L171" s="21"/>
    </row>
    <row r="172" spans="12:12" ht="12.75" customHeight="1" x14ac:dyDescent="0.2">
      <c r="L172" s="21"/>
    </row>
    <row r="173" spans="12:12" ht="12.75" customHeight="1" x14ac:dyDescent="0.2">
      <c r="L173" s="21"/>
    </row>
    <row r="174" spans="12:12" ht="12.75" customHeight="1" x14ac:dyDescent="0.2">
      <c r="L174" s="21"/>
    </row>
    <row r="175" spans="12:12" ht="12.75" customHeight="1" x14ac:dyDescent="0.2">
      <c r="L175" s="21"/>
    </row>
    <row r="176" spans="12:12" ht="12.75" customHeight="1" x14ac:dyDescent="0.2">
      <c r="L176" s="21"/>
    </row>
    <row r="177" spans="12:12" ht="12.75" customHeight="1" x14ac:dyDescent="0.2">
      <c r="L177" s="21"/>
    </row>
    <row r="178" spans="12:12" ht="12.75" customHeight="1" x14ac:dyDescent="0.2">
      <c r="L178" s="21"/>
    </row>
    <row r="179" spans="12:12" ht="12.75" customHeight="1" x14ac:dyDescent="0.2">
      <c r="L179" s="21"/>
    </row>
    <row r="180" spans="12:12" ht="12.75" customHeight="1" x14ac:dyDescent="0.2">
      <c r="L180" s="21"/>
    </row>
    <row r="181" spans="12:12" ht="12.75" customHeight="1" x14ac:dyDescent="0.2">
      <c r="L181" s="21"/>
    </row>
    <row r="182" spans="12:12" ht="12.75" customHeight="1" x14ac:dyDescent="0.2">
      <c r="L182" s="21"/>
    </row>
    <row r="183" spans="12:12" ht="12.75" customHeight="1" x14ac:dyDescent="0.2">
      <c r="L183" s="21"/>
    </row>
    <row r="184" spans="12:12" ht="12.75" customHeight="1" x14ac:dyDescent="0.2">
      <c r="L184" s="21"/>
    </row>
    <row r="185" spans="12:12" ht="12.75" customHeight="1" x14ac:dyDescent="0.2">
      <c r="L185" s="21"/>
    </row>
    <row r="186" spans="12:12" ht="12.75" customHeight="1" x14ac:dyDescent="0.2">
      <c r="L186" s="21"/>
    </row>
    <row r="187" spans="12:12" ht="12.75" customHeight="1" x14ac:dyDescent="0.2">
      <c r="L187" s="21"/>
    </row>
    <row r="188" spans="12:12" ht="12.75" customHeight="1" x14ac:dyDescent="0.2">
      <c r="L188" s="21"/>
    </row>
    <row r="189" spans="12:12" ht="12.75" customHeight="1" x14ac:dyDescent="0.2">
      <c r="L189" s="21"/>
    </row>
    <row r="190" spans="12:12" ht="12.75" customHeight="1" x14ac:dyDescent="0.2">
      <c r="L190" s="21"/>
    </row>
    <row r="191" spans="12:12" ht="12.75" customHeight="1" x14ac:dyDescent="0.2">
      <c r="L191" s="21"/>
    </row>
    <row r="192" spans="12:12" ht="12.75" customHeight="1" x14ac:dyDescent="0.2">
      <c r="L192" s="21"/>
    </row>
    <row r="193" spans="12:12" ht="12.75" customHeight="1" x14ac:dyDescent="0.2">
      <c r="L193" s="21"/>
    </row>
    <row r="194" spans="12:12" ht="12.75" customHeight="1" x14ac:dyDescent="0.2">
      <c r="L194" s="21"/>
    </row>
    <row r="195" spans="12:12" ht="12.75" customHeight="1" x14ac:dyDescent="0.2">
      <c r="L195" s="21"/>
    </row>
    <row r="196" spans="12:12" ht="12.75" customHeight="1" x14ac:dyDescent="0.2">
      <c r="L196" s="21"/>
    </row>
    <row r="197" spans="12:12" ht="12.75" customHeight="1" x14ac:dyDescent="0.2">
      <c r="L197" s="21"/>
    </row>
    <row r="198" spans="12:12" ht="12.75" customHeight="1" x14ac:dyDescent="0.2">
      <c r="L198" s="21"/>
    </row>
    <row r="199" spans="12:12" ht="12.75" customHeight="1" x14ac:dyDescent="0.2">
      <c r="L199" s="21"/>
    </row>
    <row r="200" spans="12:12" ht="12.75" customHeight="1" x14ac:dyDescent="0.2">
      <c r="L200" s="21"/>
    </row>
    <row r="201" spans="12:12" ht="12.75" customHeight="1" x14ac:dyDescent="0.2">
      <c r="L201" s="21"/>
    </row>
    <row r="202" spans="12:12" ht="12.75" customHeight="1" x14ac:dyDescent="0.2">
      <c r="L202" s="21"/>
    </row>
    <row r="203" spans="12:12" ht="12.75" customHeight="1" x14ac:dyDescent="0.2">
      <c r="L203" s="21"/>
    </row>
    <row r="204" spans="12:12" ht="12.75" customHeight="1" x14ac:dyDescent="0.2">
      <c r="L204" s="21"/>
    </row>
    <row r="205" spans="12:12" ht="12.75" customHeight="1" x14ac:dyDescent="0.2">
      <c r="L205" s="21"/>
    </row>
    <row r="206" spans="12:12" ht="12.75" customHeight="1" x14ac:dyDescent="0.2">
      <c r="L206" s="21"/>
    </row>
    <row r="207" spans="12:12" ht="12.75" customHeight="1" x14ac:dyDescent="0.2">
      <c r="L207" s="21"/>
    </row>
    <row r="208" spans="12:12" ht="12.75" customHeight="1" x14ac:dyDescent="0.2">
      <c r="L208" s="21"/>
    </row>
    <row r="209" spans="12:12" ht="12.75" customHeight="1" x14ac:dyDescent="0.2">
      <c r="L209" s="21"/>
    </row>
    <row r="210" spans="12:12" ht="12.75" customHeight="1" x14ac:dyDescent="0.2">
      <c r="L210" s="21"/>
    </row>
    <row r="211" spans="12:12" ht="12.75" customHeight="1" x14ac:dyDescent="0.2">
      <c r="L211" s="21"/>
    </row>
    <row r="212" spans="12:12" ht="12.75" customHeight="1" x14ac:dyDescent="0.2">
      <c r="L212" s="21"/>
    </row>
    <row r="213" spans="12:12" ht="12.75" customHeight="1" x14ac:dyDescent="0.2">
      <c r="L213" s="21"/>
    </row>
    <row r="214" spans="12:12" ht="12.75" customHeight="1" x14ac:dyDescent="0.2">
      <c r="L214" s="21"/>
    </row>
    <row r="215" spans="12:12" ht="12.75" customHeight="1" x14ac:dyDescent="0.2">
      <c r="L215" s="21"/>
    </row>
    <row r="216" spans="12:12" ht="12.75" customHeight="1" x14ac:dyDescent="0.2">
      <c r="L216" s="21"/>
    </row>
    <row r="217" spans="12:12" ht="12.75" customHeight="1" x14ac:dyDescent="0.2">
      <c r="L217" s="21"/>
    </row>
    <row r="218" spans="12:12" ht="12.75" customHeight="1" x14ac:dyDescent="0.2">
      <c r="L218" s="21"/>
    </row>
    <row r="219" spans="12:12" ht="12.75" customHeight="1" x14ac:dyDescent="0.2">
      <c r="L219" s="21"/>
    </row>
    <row r="220" spans="12:12" ht="12.75" customHeight="1" x14ac:dyDescent="0.2">
      <c r="L220" s="21"/>
    </row>
    <row r="221" spans="12:12" ht="15.75" customHeight="1" x14ac:dyDescent="0.2">
      <c r="L221" s="21"/>
    </row>
    <row r="222" spans="12:12" ht="15.75" customHeight="1" x14ac:dyDescent="0.2">
      <c r="L222" s="21"/>
    </row>
    <row r="223" spans="12:12" ht="15.75" customHeight="1" x14ac:dyDescent="0.2">
      <c r="L223" s="21"/>
    </row>
    <row r="224" spans="12:12" ht="15.75" customHeight="1" x14ac:dyDescent="0.2">
      <c r="L224" s="21"/>
    </row>
    <row r="225" spans="12:12" ht="15.75" customHeight="1" x14ac:dyDescent="0.2">
      <c r="L225" s="21"/>
    </row>
    <row r="226" spans="12:12" ht="15.75" customHeight="1" x14ac:dyDescent="0.2">
      <c r="L226" s="21"/>
    </row>
    <row r="227" spans="12:12" ht="15.75" customHeight="1" x14ac:dyDescent="0.2">
      <c r="L227" s="21"/>
    </row>
    <row r="228" spans="12:12" ht="15.75" customHeight="1" x14ac:dyDescent="0.2">
      <c r="L228" s="21"/>
    </row>
    <row r="229" spans="12:12" ht="15.75" customHeight="1" x14ac:dyDescent="0.2">
      <c r="L229" s="21"/>
    </row>
    <row r="230" spans="12:12" ht="15.75" customHeight="1" x14ac:dyDescent="0.2">
      <c r="L230" s="21"/>
    </row>
    <row r="231" spans="12:12" ht="15.75" customHeight="1" x14ac:dyDescent="0.2">
      <c r="L231" s="21"/>
    </row>
    <row r="232" spans="12:12" ht="15.75" customHeight="1" x14ac:dyDescent="0.2">
      <c r="L232" s="21"/>
    </row>
    <row r="233" spans="12:12" ht="15.75" customHeight="1" x14ac:dyDescent="0.2">
      <c r="L233" s="21"/>
    </row>
    <row r="234" spans="12:12" ht="15.75" customHeight="1" x14ac:dyDescent="0.2">
      <c r="L234" s="21"/>
    </row>
    <row r="235" spans="12:12" ht="15.75" customHeight="1" x14ac:dyDescent="0.2">
      <c r="L235" s="21"/>
    </row>
    <row r="236" spans="12:12" ht="15.75" customHeight="1" x14ac:dyDescent="0.2">
      <c r="L236" s="21"/>
    </row>
    <row r="237" spans="12:12" ht="15.75" customHeight="1" x14ac:dyDescent="0.2">
      <c r="L237" s="21"/>
    </row>
    <row r="238" spans="12:12" ht="15.75" customHeight="1" x14ac:dyDescent="0.2">
      <c r="L238" s="21"/>
    </row>
    <row r="239" spans="12:12" ht="15.75" customHeight="1" x14ac:dyDescent="0.2">
      <c r="L239" s="21"/>
    </row>
    <row r="240" spans="12:12" ht="15.75" customHeight="1" x14ac:dyDescent="0.2">
      <c r="L240" s="21"/>
    </row>
    <row r="241" spans="12:12" ht="15.75" customHeight="1" x14ac:dyDescent="0.2">
      <c r="L241" s="21"/>
    </row>
    <row r="242" spans="12:12" ht="15.75" customHeight="1" x14ac:dyDescent="0.2">
      <c r="L242" s="21"/>
    </row>
    <row r="243" spans="12:12" ht="15.75" customHeight="1" x14ac:dyDescent="0.2">
      <c r="L243" s="21"/>
    </row>
    <row r="244" spans="12:12" ht="15.75" customHeight="1" x14ac:dyDescent="0.2">
      <c r="L244" s="21"/>
    </row>
    <row r="245" spans="12:12" ht="15.75" customHeight="1" x14ac:dyDescent="0.2">
      <c r="L245" s="21"/>
    </row>
    <row r="246" spans="12:12" ht="15.75" customHeight="1" x14ac:dyDescent="0.2">
      <c r="L246" s="21"/>
    </row>
    <row r="247" spans="12:12" ht="15.75" customHeight="1" x14ac:dyDescent="0.2">
      <c r="L247" s="21"/>
    </row>
    <row r="248" spans="12:12" ht="15.75" customHeight="1" x14ac:dyDescent="0.2">
      <c r="L248" s="21"/>
    </row>
    <row r="249" spans="12:12" ht="15.75" customHeight="1" x14ac:dyDescent="0.2">
      <c r="L249" s="21"/>
    </row>
    <row r="250" spans="12:12" ht="15.75" customHeight="1" x14ac:dyDescent="0.2">
      <c r="L250" s="21"/>
    </row>
    <row r="251" spans="12:12" ht="15.75" customHeight="1" x14ac:dyDescent="0.2">
      <c r="L251" s="21"/>
    </row>
    <row r="252" spans="12:12" ht="15.75" customHeight="1" x14ac:dyDescent="0.2">
      <c r="L252" s="21"/>
    </row>
    <row r="253" spans="12:12" ht="15.75" customHeight="1" x14ac:dyDescent="0.2">
      <c r="L253" s="21"/>
    </row>
    <row r="254" spans="12:12" ht="15.75" customHeight="1" x14ac:dyDescent="0.2">
      <c r="L254" s="21"/>
    </row>
    <row r="255" spans="12:12" ht="15.75" customHeight="1" x14ac:dyDescent="0.2">
      <c r="L255" s="21"/>
    </row>
    <row r="256" spans="12:12" ht="15.75" customHeight="1" x14ac:dyDescent="0.2">
      <c r="L256" s="21"/>
    </row>
    <row r="257" spans="12:12" ht="15.75" customHeight="1" x14ac:dyDescent="0.2">
      <c r="L257" s="21"/>
    </row>
    <row r="258" spans="12:12" ht="15.75" customHeight="1" x14ac:dyDescent="0.2">
      <c r="L258" s="21"/>
    </row>
    <row r="259" spans="12:12" ht="15.75" customHeight="1" x14ac:dyDescent="0.2">
      <c r="L259" s="21"/>
    </row>
    <row r="260" spans="12:12" ht="15.75" customHeight="1" x14ac:dyDescent="0.2">
      <c r="L260" s="21"/>
    </row>
    <row r="261" spans="12:12" ht="15.75" customHeight="1" x14ac:dyDescent="0.2">
      <c r="L261" s="21"/>
    </row>
    <row r="262" spans="12:12" ht="15.75" customHeight="1" x14ac:dyDescent="0.2">
      <c r="L262" s="21"/>
    </row>
    <row r="263" spans="12:12" ht="15.75" customHeight="1" x14ac:dyDescent="0.2">
      <c r="L263" s="21"/>
    </row>
    <row r="264" spans="12:12" ht="15.75" customHeight="1" x14ac:dyDescent="0.2">
      <c r="L264" s="21"/>
    </row>
    <row r="265" spans="12:12" ht="15.75" customHeight="1" x14ac:dyDescent="0.2">
      <c r="L265" s="21"/>
    </row>
    <row r="266" spans="12:12" ht="15.75" customHeight="1" x14ac:dyDescent="0.2">
      <c r="L266" s="21"/>
    </row>
    <row r="267" spans="12:12" ht="15.75" customHeight="1" x14ac:dyDescent="0.2">
      <c r="L267" s="21"/>
    </row>
    <row r="268" spans="12:12" ht="15.75" customHeight="1" x14ac:dyDescent="0.2">
      <c r="L268" s="21"/>
    </row>
    <row r="269" spans="12:12" ht="15.75" customHeight="1" x14ac:dyDescent="0.2">
      <c r="L269" s="21"/>
    </row>
    <row r="270" spans="12:12" ht="15.75" customHeight="1" x14ac:dyDescent="0.2">
      <c r="L270" s="21"/>
    </row>
    <row r="271" spans="12:12" ht="15.75" customHeight="1" x14ac:dyDescent="0.2">
      <c r="L271" s="21"/>
    </row>
    <row r="272" spans="12:12" ht="15.75" customHeight="1" x14ac:dyDescent="0.2">
      <c r="L272" s="21"/>
    </row>
    <row r="273" spans="12:12" ht="15.75" customHeight="1" x14ac:dyDescent="0.2">
      <c r="L273" s="21"/>
    </row>
    <row r="274" spans="12:12" ht="15.75" customHeight="1" x14ac:dyDescent="0.2">
      <c r="L274" s="21"/>
    </row>
    <row r="275" spans="12:12" ht="15.75" customHeight="1" x14ac:dyDescent="0.2">
      <c r="L275" s="21"/>
    </row>
    <row r="276" spans="12:12" ht="15.75" customHeight="1" x14ac:dyDescent="0.2">
      <c r="L276" s="21"/>
    </row>
    <row r="277" spans="12:12" ht="15.75" customHeight="1" x14ac:dyDescent="0.2">
      <c r="L277" s="21"/>
    </row>
    <row r="278" spans="12:12" ht="15.75" customHeight="1" x14ac:dyDescent="0.2">
      <c r="L278" s="21"/>
    </row>
    <row r="279" spans="12:12" ht="15.75" customHeight="1" x14ac:dyDescent="0.2">
      <c r="L279" s="21"/>
    </row>
    <row r="280" spans="12:12" ht="15.75" customHeight="1" x14ac:dyDescent="0.2">
      <c r="L280" s="21"/>
    </row>
    <row r="281" spans="12:12" ht="15.75" customHeight="1" x14ac:dyDescent="0.2">
      <c r="L281" s="21"/>
    </row>
    <row r="282" spans="12:12" ht="15.75" customHeight="1" x14ac:dyDescent="0.2">
      <c r="L282" s="21"/>
    </row>
    <row r="283" spans="12:12" ht="15.75" customHeight="1" x14ac:dyDescent="0.2">
      <c r="L283" s="21"/>
    </row>
    <row r="284" spans="12:12" ht="15.75" customHeight="1" x14ac:dyDescent="0.2">
      <c r="L284" s="21"/>
    </row>
    <row r="285" spans="12:12" ht="15.75" customHeight="1" x14ac:dyDescent="0.2">
      <c r="L285" s="21"/>
    </row>
    <row r="286" spans="12:12" ht="15.75" customHeight="1" x14ac:dyDescent="0.2">
      <c r="L286" s="21"/>
    </row>
    <row r="287" spans="12:12" ht="15.75" customHeight="1" x14ac:dyDescent="0.2">
      <c r="L287" s="21"/>
    </row>
    <row r="288" spans="12:12" ht="15.75" customHeight="1" x14ac:dyDescent="0.2">
      <c r="L288" s="21"/>
    </row>
    <row r="289" spans="12:12" ht="15.75" customHeight="1" x14ac:dyDescent="0.2">
      <c r="L289" s="21"/>
    </row>
    <row r="290" spans="12:12" ht="15.75" customHeight="1" x14ac:dyDescent="0.2">
      <c r="L290" s="21"/>
    </row>
    <row r="291" spans="12:12" ht="15.75" customHeight="1" x14ac:dyDescent="0.2">
      <c r="L291" s="21"/>
    </row>
    <row r="292" spans="12:12" ht="15.75" customHeight="1" x14ac:dyDescent="0.2">
      <c r="L292" s="21"/>
    </row>
    <row r="293" spans="12:12" ht="15.75" customHeight="1" x14ac:dyDescent="0.2">
      <c r="L293" s="21"/>
    </row>
    <row r="294" spans="12:12" ht="15.75" customHeight="1" x14ac:dyDescent="0.2">
      <c r="L294" s="21"/>
    </row>
    <row r="295" spans="12:12" ht="15.75" customHeight="1" x14ac:dyDescent="0.2">
      <c r="L295" s="21"/>
    </row>
    <row r="296" spans="12:12" ht="15.75" customHeight="1" x14ac:dyDescent="0.2">
      <c r="L296" s="21"/>
    </row>
    <row r="297" spans="12:12" ht="15.75" customHeight="1" x14ac:dyDescent="0.2">
      <c r="L297" s="21"/>
    </row>
    <row r="298" spans="12:12" ht="15.75" customHeight="1" x14ac:dyDescent="0.2">
      <c r="L298" s="21"/>
    </row>
    <row r="299" spans="12:12" ht="15.75" customHeight="1" x14ac:dyDescent="0.2">
      <c r="L299" s="21"/>
    </row>
    <row r="300" spans="12:12" ht="15.75" customHeight="1" x14ac:dyDescent="0.2">
      <c r="L300" s="21"/>
    </row>
    <row r="301" spans="12:12" ht="15.75" customHeight="1" x14ac:dyDescent="0.2">
      <c r="L301" s="21"/>
    </row>
    <row r="302" spans="12:12" ht="15.75" customHeight="1" x14ac:dyDescent="0.2">
      <c r="L302" s="21"/>
    </row>
    <row r="303" spans="12:12" ht="15.75" customHeight="1" x14ac:dyDescent="0.2">
      <c r="L303" s="21"/>
    </row>
    <row r="304" spans="12:12" ht="15.75" customHeight="1" x14ac:dyDescent="0.2">
      <c r="L304" s="21"/>
    </row>
    <row r="305" spans="12:12" ht="15.75" customHeight="1" x14ac:dyDescent="0.2">
      <c r="L305" s="21"/>
    </row>
    <row r="306" spans="12:12" ht="15.75" customHeight="1" x14ac:dyDescent="0.2">
      <c r="L306" s="21"/>
    </row>
    <row r="307" spans="12:12" ht="15.75" customHeight="1" x14ac:dyDescent="0.2">
      <c r="L307" s="21"/>
    </row>
    <row r="308" spans="12:12" ht="15.75" customHeight="1" x14ac:dyDescent="0.2">
      <c r="L308" s="21"/>
    </row>
    <row r="309" spans="12:12" ht="15.75" customHeight="1" x14ac:dyDescent="0.2">
      <c r="L309" s="21"/>
    </row>
    <row r="310" spans="12:12" ht="15.75" customHeight="1" x14ac:dyDescent="0.2">
      <c r="L310" s="21"/>
    </row>
    <row r="311" spans="12:12" ht="15.75" customHeight="1" x14ac:dyDescent="0.2">
      <c r="L311" s="21"/>
    </row>
    <row r="312" spans="12:12" ht="15.75" customHeight="1" x14ac:dyDescent="0.2">
      <c r="L312" s="21"/>
    </row>
    <row r="313" spans="12:12" ht="15.75" customHeight="1" x14ac:dyDescent="0.2">
      <c r="L313" s="21"/>
    </row>
    <row r="314" spans="12:12" ht="15.75" customHeight="1" x14ac:dyDescent="0.2">
      <c r="L314" s="21"/>
    </row>
    <row r="315" spans="12:12" ht="15.75" customHeight="1" x14ac:dyDescent="0.2">
      <c r="L315" s="21"/>
    </row>
    <row r="316" spans="12:12" ht="15.75" customHeight="1" x14ac:dyDescent="0.2">
      <c r="L316" s="21"/>
    </row>
    <row r="317" spans="12:12" ht="15.75" customHeight="1" x14ac:dyDescent="0.2">
      <c r="L317" s="21"/>
    </row>
    <row r="318" spans="12:12" ht="15.75" customHeight="1" x14ac:dyDescent="0.2">
      <c r="L318" s="21"/>
    </row>
    <row r="319" spans="12:12" ht="15.75" customHeight="1" x14ac:dyDescent="0.2">
      <c r="L319" s="21"/>
    </row>
    <row r="320" spans="12:12" ht="15.75" customHeight="1" x14ac:dyDescent="0.2">
      <c r="L320" s="21"/>
    </row>
    <row r="321" spans="12:12" ht="15.75" customHeight="1" x14ac:dyDescent="0.2">
      <c r="L321" s="21"/>
    </row>
    <row r="322" spans="12:12" ht="15.75" customHeight="1" x14ac:dyDescent="0.2">
      <c r="L322" s="21"/>
    </row>
    <row r="323" spans="12:12" ht="15.75" customHeight="1" x14ac:dyDescent="0.2">
      <c r="L323" s="21"/>
    </row>
    <row r="324" spans="12:12" ht="15.75" customHeight="1" x14ac:dyDescent="0.2">
      <c r="L324" s="21"/>
    </row>
    <row r="325" spans="12:12" ht="15.75" customHeight="1" x14ac:dyDescent="0.2">
      <c r="L325" s="21"/>
    </row>
    <row r="326" spans="12:12" ht="15.75" customHeight="1" x14ac:dyDescent="0.2">
      <c r="L326" s="21"/>
    </row>
    <row r="327" spans="12:12" ht="15.75" customHeight="1" x14ac:dyDescent="0.2">
      <c r="L327" s="21"/>
    </row>
    <row r="328" spans="12:12" ht="15.75" customHeight="1" x14ac:dyDescent="0.2">
      <c r="L328" s="21"/>
    </row>
    <row r="329" spans="12:12" ht="15.75" customHeight="1" x14ac:dyDescent="0.2">
      <c r="L329" s="21"/>
    </row>
    <row r="330" spans="12:12" ht="15.75" customHeight="1" x14ac:dyDescent="0.2">
      <c r="L330" s="21"/>
    </row>
    <row r="331" spans="12:12" ht="15.75" customHeight="1" x14ac:dyDescent="0.2">
      <c r="L331" s="21"/>
    </row>
    <row r="332" spans="12:12" ht="15.75" customHeight="1" x14ac:dyDescent="0.2">
      <c r="L332" s="21"/>
    </row>
    <row r="333" spans="12:12" ht="15.75" customHeight="1" x14ac:dyDescent="0.2">
      <c r="L333" s="21"/>
    </row>
    <row r="334" spans="12:12" ht="15.75" customHeight="1" x14ac:dyDescent="0.2">
      <c r="L334" s="21"/>
    </row>
    <row r="335" spans="12:12" ht="15.75" customHeight="1" x14ac:dyDescent="0.2">
      <c r="L335" s="21"/>
    </row>
    <row r="336" spans="12:12" ht="15.75" customHeight="1" x14ac:dyDescent="0.2">
      <c r="L336" s="21"/>
    </row>
    <row r="337" spans="12:12" ht="15.75" customHeight="1" x14ac:dyDescent="0.2">
      <c r="L337" s="21"/>
    </row>
    <row r="338" spans="12:12" ht="15.75" customHeight="1" x14ac:dyDescent="0.2">
      <c r="L338" s="21"/>
    </row>
    <row r="339" spans="12:12" ht="15.75" customHeight="1" x14ac:dyDescent="0.2">
      <c r="L339" s="21"/>
    </row>
    <row r="340" spans="12:12" ht="15.75" customHeight="1" x14ac:dyDescent="0.2">
      <c r="L340" s="21"/>
    </row>
    <row r="341" spans="12:12" ht="15.75" customHeight="1" x14ac:dyDescent="0.2">
      <c r="L341" s="21"/>
    </row>
    <row r="342" spans="12:12" ht="15.75" customHeight="1" x14ac:dyDescent="0.2">
      <c r="L342" s="21"/>
    </row>
    <row r="343" spans="12:12" ht="15.75" customHeight="1" x14ac:dyDescent="0.2">
      <c r="L343" s="21"/>
    </row>
    <row r="344" spans="12:12" ht="15.75" customHeight="1" x14ac:dyDescent="0.2">
      <c r="L344" s="21"/>
    </row>
    <row r="345" spans="12:12" ht="15.75" customHeight="1" x14ac:dyDescent="0.2">
      <c r="L345" s="21"/>
    </row>
    <row r="346" spans="12:12" ht="15.75" customHeight="1" x14ac:dyDescent="0.2">
      <c r="L346" s="21"/>
    </row>
    <row r="347" spans="12:12" ht="15.75" customHeight="1" x14ac:dyDescent="0.2">
      <c r="L347" s="21"/>
    </row>
    <row r="348" spans="12:12" ht="15.75" customHeight="1" x14ac:dyDescent="0.2">
      <c r="L348" s="21"/>
    </row>
    <row r="349" spans="12:12" ht="15.75" customHeight="1" x14ac:dyDescent="0.2">
      <c r="L349" s="21"/>
    </row>
    <row r="350" spans="12:12" ht="15.75" customHeight="1" x14ac:dyDescent="0.2">
      <c r="L350" s="21"/>
    </row>
    <row r="351" spans="12:12" ht="15.75" customHeight="1" x14ac:dyDescent="0.2">
      <c r="L351" s="21"/>
    </row>
    <row r="352" spans="12:12" ht="15.75" customHeight="1" x14ac:dyDescent="0.2">
      <c r="L352" s="21"/>
    </row>
    <row r="353" spans="12:12" ht="15.75" customHeight="1" x14ac:dyDescent="0.2">
      <c r="L353" s="21"/>
    </row>
    <row r="354" spans="12:12" ht="15.75" customHeight="1" x14ac:dyDescent="0.2">
      <c r="L354" s="21"/>
    </row>
    <row r="355" spans="12:12" ht="15.75" customHeight="1" x14ac:dyDescent="0.2">
      <c r="L355" s="21"/>
    </row>
    <row r="356" spans="12:12" ht="15.75" customHeight="1" x14ac:dyDescent="0.2">
      <c r="L356" s="21"/>
    </row>
    <row r="357" spans="12:12" ht="15.75" customHeight="1" x14ac:dyDescent="0.2">
      <c r="L357" s="21"/>
    </row>
    <row r="358" spans="12:12" ht="15.75" customHeight="1" x14ac:dyDescent="0.2">
      <c r="L358" s="21"/>
    </row>
    <row r="359" spans="12:12" ht="15.75" customHeight="1" x14ac:dyDescent="0.2">
      <c r="L359" s="21"/>
    </row>
    <row r="360" spans="12:12" ht="15.75" customHeight="1" x14ac:dyDescent="0.2">
      <c r="L360" s="21"/>
    </row>
    <row r="361" spans="12:12" ht="15.75" customHeight="1" x14ac:dyDescent="0.2">
      <c r="L361" s="21"/>
    </row>
    <row r="362" spans="12:12" ht="15.75" customHeight="1" x14ac:dyDescent="0.2">
      <c r="L362" s="21"/>
    </row>
    <row r="363" spans="12:12" ht="15.75" customHeight="1" x14ac:dyDescent="0.2">
      <c r="L363" s="21"/>
    </row>
    <row r="364" spans="12:12" ht="15.75" customHeight="1" x14ac:dyDescent="0.2">
      <c r="L364" s="21"/>
    </row>
    <row r="365" spans="12:12" ht="15.75" customHeight="1" x14ac:dyDescent="0.2">
      <c r="L365" s="21"/>
    </row>
    <row r="366" spans="12:12" ht="15.75" customHeight="1" x14ac:dyDescent="0.2">
      <c r="L366" s="21"/>
    </row>
    <row r="367" spans="12:12" ht="15.75" customHeight="1" x14ac:dyDescent="0.2">
      <c r="L367" s="21"/>
    </row>
    <row r="368" spans="12:12" ht="15.75" customHeight="1" x14ac:dyDescent="0.2">
      <c r="L368" s="21"/>
    </row>
    <row r="369" spans="12:12" ht="15.75" customHeight="1" x14ac:dyDescent="0.2">
      <c r="L369" s="21"/>
    </row>
    <row r="370" spans="12:12" ht="15.75" customHeight="1" x14ac:dyDescent="0.2">
      <c r="L370" s="21"/>
    </row>
    <row r="371" spans="12:12" ht="15.75" customHeight="1" x14ac:dyDescent="0.2">
      <c r="L371" s="21"/>
    </row>
    <row r="372" spans="12:12" ht="15.75" customHeight="1" x14ac:dyDescent="0.2">
      <c r="L372" s="21"/>
    </row>
    <row r="373" spans="12:12" ht="15.75" customHeight="1" x14ac:dyDescent="0.2">
      <c r="L373" s="21"/>
    </row>
    <row r="374" spans="12:12" ht="15.75" customHeight="1" x14ac:dyDescent="0.2">
      <c r="L374" s="21"/>
    </row>
    <row r="375" spans="12:12" ht="15.75" customHeight="1" x14ac:dyDescent="0.2">
      <c r="L375" s="21"/>
    </row>
    <row r="376" spans="12:12" ht="15.75" customHeight="1" x14ac:dyDescent="0.2">
      <c r="L376" s="21"/>
    </row>
    <row r="377" spans="12:12" ht="15.75" customHeight="1" x14ac:dyDescent="0.2">
      <c r="L377" s="21"/>
    </row>
    <row r="378" spans="12:12" ht="15.75" customHeight="1" x14ac:dyDescent="0.2">
      <c r="L378" s="21"/>
    </row>
    <row r="379" spans="12:12" ht="15.75" customHeight="1" x14ac:dyDescent="0.2">
      <c r="L379" s="21"/>
    </row>
    <row r="380" spans="12:12" ht="15.75" customHeight="1" x14ac:dyDescent="0.2">
      <c r="L380" s="21"/>
    </row>
    <row r="381" spans="12:12" ht="15.75" customHeight="1" x14ac:dyDescent="0.2">
      <c r="L381" s="21"/>
    </row>
    <row r="382" spans="12:12" ht="15.75" customHeight="1" x14ac:dyDescent="0.2">
      <c r="L382" s="21"/>
    </row>
    <row r="383" spans="12:12" ht="15.75" customHeight="1" x14ac:dyDescent="0.2">
      <c r="L383" s="21"/>
    </row>
    <row r="384" spans="12:12" ht="15.75" customHeight="1" x14ac:dyDescent="0.2">
      <c r="L384" s="21"/>
    </row>
    <row r="385" spans="12:12" ht="15.75" customHeight="1" x14ac:dyDescent="0.2">
      <c r="L385" s="21"/>
    </row>
    <row r="386" spans="12:12" ht="15.75" customHeight="1" x14ac:dyDescent="0.2">
      <c r="L386" s="21"/>
    </row>
    <row r="387" spans="12:12" ht="15.75" customHeight="1" x14ac:dyDescent="0.2">
      <c r="L387" s="21"/>
    </row>
    <row r="388" spans="12:12" ht="15.75" customHeight="1" x14ac:dyDescent="0.2">
      <c r="L388" s="21"/>
    </row>
    <row r="389" spans="12:12" ht="15.75" customHeight="1" x14ac:dyDescent="0.2">
      <c r="L389" s="21"/>
    </row>
    <row r="390" spans="12:12" ht="15.75" customHeight="1" x14ac:dyDescent="0.2">
      <c r="L390" s="21"/>
    </row>
    <row r="391" spans="12:12" ht="15.75" customHeight="1" x14ac:dyDescent="0.2">
      <c r="L391" s="21"/>
    </row>
    <row r="392" spans="12:12" ht="15.75" customHeight="1" x14ac:dyDescent="0.2">
      <c r="L392" s="21"/>
    </row>
    <row r="393" spans="12:12" ht="15.75" customHeight="1" x14ac:dyDescent="0.2">
      <c r="L393" s="21"/>
    </row>
    <row r="394" spans="12:12" ht="15.75" customHeight="1" x14ac:dyDescent="0.2">
      <c r="L394" s="21"/>
    </row>
    <row r="395" spans="12:12" ht="15.75" customHeight="1" x14ac:dyDescent="0.2">
      <c r="L395" s="21"/>
    </row>
    <row r="396" spans="12:12" ht="15.75" customHeight="1" x14ac:dyDescent="0.2">
      <c r="L396" s="21"/>
    </row>
    <row r="397" spans="12:12" ht="15.75" customHeight="1" x14ac:dyDescent="0.2">
      <c r="L397" s="21"/>
    </row>
    <row r="398" spans="12:12" ht="15.75" customHeight="1" x14ac:dyDescent="0.2">
      <c r="L398" s="21"/>
    </row>
    <row r="399" spans="12:12" ht="15.75" customHeight="1" x14ac:dyDescent="0.2">
      <c r="L399" s="21"/>
    </row>
    <row r="400" spans="12:12" ht="15.75" customHeight="1" x14ac:dyDescent="0.2">
      <c r="L400" s="21"/>
    </row>
    <row r="401" spans="12:12" ht="15.75" customHeight="1" x14ac:dyDescent="0.2">
      <c r="L401" s="21"/>
    </row>
    <row r="402" spans="12:12" ht="15.75" customHeight="1" x14ac:dyDescent="0.2">
      <c r="L402" s="21"/>
    </row>
    <row r="403" spans="12:12" ht="15.75" customHeight="1" x14ac:dyDescent="0.2">
      <c r="L403" s="21"/>
    </row>
    <row r="404" spans="12:12" ht="15.75" customHeight="1" x14ac:dyDescent="0.2">
      <c r="L404" s="21"/>
    </row>
    <row r="405" spans="12:12" ht="15.75" customHeight="1" x14ac:dyDescent="0.2">
      <c r="L405" s="21"/>
    </row>
    <row r="406" spans="12:12" ht="15.75" customHeight="1" x14ac:dyDescent="0.2">
      <c r="L406" s="21"/>
    </row>
    <row r="407" spans="12:12" ht="15.75" customHeight="1" x14ac:dyDescent="0.2">
      <c r="L407" s="21"/>
    </row>
    <row r="408" spans="12:12" ht="15.75" customHeight="1" x14ac:dyDescent="0.2">
      <c r="L408" s="21"/>
    </row>
    <row r="409" spans="12:12" ht="15.75" customHeight="1" x14ac:dyDescent="0.2">
      <c r="L409" s="21"/>
    </row>
    <row r="410" spans="12:12" ht="15.75" customHeight="1" x14ac:dyDescent="0.2">
      <c r="L410" s="21"/>
    </row>
    <row r="411" spans="12:12" ht="15.75" customHeight="1" x14ac:dyDescent="0.2">
      <c r="L411" s="21"/>
    </row>
    <row r="412" spans="12:12" ht="15.75" customHeight="1" x14ac:dyDescent="0.2">
      <c r="L412" s="21"/>
    </row>
    <row r="413" spans="12:12" ht="15.75" customHeight="1" x14ac:dyDescent="0.2">
      <c r="L413" s="21"/>
    </row>
    <row r="414" spans="12:12" ht="15.75" customHeight="1" x14ac:dyDescent="0.2">
      <c r="L414" s="21"/>
    </row>
    <row r="415" spans="12:12" ht="15.75" customHeight="1" x14ac:dyDescent="0.2">
      <c r="L415" s="21"/>
    </row>
    <row r="416" spans="12:12" ht="15.75" customHeight="1" x14ac:dyDescent="0.2">
      <c r="L416" s="21"/>
    </row>
    <row r="417" spans="12:12" ht="15.75" customHeight="1" x14ac:dyDescent="0.2">
      <c r="L417" s="21"/>
    </row>
    <row r="418" spans="12:12" ht="15.75" customHeight="1" x14ac:dyDescent="0.2">
      <c r="L418" s="21"/>
    </row>
    <row r="419" spans="12:12" ht="15.75" customHeight="1" x14ac:dyDescent="0.2">
      <c r="L419" s="21"/>
    </row>
    <row r="420" spans="12:12" ht="15.75" customHeight="1" x14ac:dyDescent="0.2">
      <c r="L420" s="21"/>
    </row>
    <row r="421" spans="12:12" ht="15.75" customHeight="1" x14ac:dyDescent="0.2">
      <c r="L421" s="21"/>
    </row>
    <row r="422" spans="12:12" ht="15.75" customHeight="1" x14ac:dyDescent="0.2">
      <c r="L422" s="21"/>
    </row>
    <row r="423" spans="12:12" ht="15.75" customHeight="1" x14ac:dyDescent="0.2">
      <c r="L423" s="21"/>
    </row>
    <row r="424" spans="12:12" ht="15.75" customHeight="1" x14ac:dyDescent="0.2">
      <c r="L424" s="21"/>
    </row>
    <row r="425" spans="12:12" ht="15.75" customHeight="1" x14ac:dyDescent="0.2">
      <c r="L425" s="21"/>
    </row>
    <row r="426" spans="12:12" ht="15.75" customHeight="1" x14ac:dyDescent="0.2">
      <c r="L426" s="21"/>
    </row>
    <row r="427" spans="12:12" ht="15.75" customHeight="1" x14ac:dyDescent="0.2">
      <c r="L427" s="21"/>
    </row>
    <row r="428" spans="12:12" ht="15.75" customHeight="1" x14ac:dyDescent="0.2">
      <c r="L428" s="21"/>
    </row>
    <row r="429" spans="12:12" ht="15.75" customHeight="1" x14ac:dyDescent="0.2">
      <c r="L429" s="21"/>
    </row>
    <row r="430" spans="12:12" ht="15.75" customHeight="1" x14ac:dyDescent="0.2">
      <c r="L430" s="21"/>
    </row>
    <row r="431" spans="12:12" ht="15.75" customHeight="1" x14ac:dyDescent="0.2">
      <c r="L431" s="21"/>
    </row>
    <row r="432" spans="12:12" ht="15.75" customHeight="1" x14ac:dyDescent="0.2">
      <c r="L432" s="21"/>
    </row>
    <row r="433" spans="12:12" ht="15.75" customHeight="1" x14ac:dyDescent="0.2">
      <c r="L433" s="21"/>
    </row>
    <row r="434" spans="12:12" ht="15.75" customHeight="1" x14ac:dyDescent="0.2">
      <c r="L434" s="21"/>
    </row>
    <row r="435" spans="12:12" ht="15.75" customHeight="1" x14ac:dyDescent="0.2">
      <c r="L435" s="21"/>
    </row>
    <row r="436" spans="12:12" ht="15.75" customHeight="1" x14ac:dyDescent="0.2">
      <c r="L436" s="21"/>
    </row>
    <row r="437" spans="12:12" ht="15.75" customHeight="1" x14ac:dyDescent="0.2">
      <c r="L437" s="21"/>
    </row>
    <row r="438" spans="12:12" ht="15.75" customHeight="1" x14ac:dyDescent="0.2">
      <c r="L438" s="21"/>
    </row>
    <row r="439" spans="12:12" ht="15.75" customHeight="1" x14ac:dyDescent="0.2">
      <c r="L439" s="21"/>
    </row>
    <row r="440" spans="12:12" ht="15.75" customHeight="1" x14ac:dyDescent="0.2">
      <c r="L440" s="21"/>
    </row>
    <row r="441" spans="12:12" ht="15.75" customHeight="1" x14ac:dyDescent="0.2">
      <c r="L441" s="21"/>
    </row>
    <row r="442" spans="12:12" ht="15.75" customHeight="1" x14ac:dyDescent="0.2">
      <c r="L442" s="21"/>
    </row>
    <row r="443" spans="12:12" ht="15.75" customHeight="1" x14ac:dyDescent="0.2">
      <c r="L443" s="21"/>
    </row>
    <row r="444" spans="12:12" ht="15.75" customHeight="1" x14ac:dyDescent="0.2">
      <c r="L444" s="21"/>
    </row>
    <row r="445" spans="12:12" ht="15.75" customHeight="1" x14ac:dyDescent="0.2">
      <c r="L445" s="21"/>
    </row>
    <row r="446" spans="12:12" ht="15.75" customHeight="1" x14ac:dyDescent="0.2">
      <c r="L446" s="21"/>
    </row>
    <row r="447" spans="12:12" ht="15.75" customHeight="1" x14ac:dyDescent="0.2">
      <c r="L447" s="21"/>
    </row>
    <row r="448" spans="12:12" ht="15.75" customHeight="1" x14ac:dyDescent="0.2">
      <c r="L448" s="21"/>
    </row>
    <row r="449" spans="12:12" ht="15.75" customHeight="1" x14ac:dyDescent="0.2">
      <c r="L449" s="21"/>
    </row>
    <row r="450" spans="12:12" ht="15.75" customHeight="1" x14ac:dyDescent="0.2">
      <c r="L450" s="21"/>
    </row>
    <row r="451" spans="12:12" ht="15.75" customHeight="1" x14ac:dyDescent="0.2">
      <c r="L451" s="21"/>
    </row>
    <row r="452" spans="12:12" ht="15.75" customHeight="1" x14ac:dyDescent="0.2">
      <c r="L452" s="21"/>
    </row>
    <row r="453" spans="12:12" ht="15.75" customHeight="1" x14ac:dyDescent="0.2">
      <c r="L453" s="21"/>
    </row>
    <row r="454" spans="12:12" ht="15.75" customHeight="1" x14ac:dyDescent="0.2">
      <c r="L454" s="21"/>
    </row>
    <row r="455" spans="12:12" ht="15.75" customHeight="1" x14ac:dyDescent="0.2">
      <c r="L455" s="21"/>
    </row>
    <row r="456" spans="12:12" ht="15.75" customHeight="1" x14ac:dyDescent="0.2">
      <c r="L456" s="21"/>
    </row>
    <row r="457" spans="12:12" ht="15.75" customHeight="1" x14ac:dyDescent="0.2">
      <c r="L457" s="21"/>
    </row>
    <row r="458" spans="12:12" ht="15.75" customHeight="1" x14ac:dyDescent="0.2">
      <c r="L458" s="21"/>
    </row>
    <row r="459" spans="12:12" ht="15.75" customHeight="1" x14ac:dyDescent="0.2">
      <c r="L459" s="21"/>
    </row>
    <row r="460" spans="12:12" ht="15.75" customHeight="1" x14ac:dyDescent="0.2">
      <c r="L460" s="21"/>
    </row>
    <row r="461" spans="12:12" ht="15.75" customHeight="1" x14ac:dyDescent="0.2">
      <c r="L461" s="21"/>
    </row>
    <row r="462" spans="12:12" ht="15.75" customHeight="1" x14ac:dyDescent="0.2">
      <c r="L462" s="21"/>
    </row>
    <row r="463" spans="12:12" ht="15.75" customHeight="1" x14ac:dyDescent="0.2">
      <c r="L463" s="21"/>
    </row>
    <row r="464" spans="12:12" ht="15.75" customHeight="1" x14ac:dyDescent="0.2">
      <c r="L464" s="21"/>
    </row>
    <row r="465" spans="12:12" ht="15.75" customHeight="1" x14ac:dyDescent="0.2">
      <c r="L465" s="21"/>
    </row>
    <row r="466" spans="12:12" ht="15.75" customHeight="1" x14ac:dyDescent="0.2">
      <c r="L466" s="21"/>
    </row>
    <row r="467" spans="12:12" ht="15.75" customHeight="1" x14ac:dyDescent="0.2">
      <c r="L467" s="21"/>
    </row>
    <row r="468" spans="12:12" ht="15.75" customHeight="1" x14ac:dyDescent="0.2">
      <c r="L468" s="21"/>
    </row>
    <row r="469" spans="12:12" ht="15.75" customHeight="1" x14ac:dyDescent="0.2">
      <c r="L469" s="21"/>
    </row>
    <row r="470" spans="12:12" ht="15.75" customHeight="1" x14ac:dyDescent="0.2">
      <c r="L470" s="21"/>
    </row>
    <row r="471" spans="12:12" ht="15.75" customHeight="1" x14ac:dyDescent="0.2">
      <c r="L471" s="21"/>
    </row>
    <row r="472" spans="12:12" ht="15.75" customHeight="1" x14ac:dyDescent="0.2">
      <c r="L472" s="21"/>
    </row>
    <row r="473" spans="12:12" ht="15.75" customHeight="1" x14ac:dyDescent="0.2">
      <c r="L473" s="21"/>
    </row>
    <row r="474" spans="12:12" ht="15.75" customHeight="1" x14ac:dyDescent="0.2">
      <c r="L474" s="21"/>
    </row>
    <row r="475" spans="12:12" ht="15.75" customHeight="1" x14ac:dyDescent="0.2">
      <c r="L475" s="21"/>
    </row>
    <row r="476" spans="12:12" ht="15.75" customHeight="1" x14ac:dyDescent="0.2">
      <c r="L476" s="21"/>
    </row>
    <row r="477" spans="12:12" ht="15.75" customHeight="1" x14ac:dyDescent="0.2">
      <c r="L477" s="21"/>
    </row>
    <row r="478" spans="12:12" ht="15.75" customHeight="1" x14ac:dyDescent="0.2">
      <c r="L478" s="21"/>
    </row>
    <row r="479" spans="12:12" ht="15.75" customHeight="1" x14ac:dyDescent="0.2">
      <c r="L479" s="21"/>
    </row>
    <row r="480" spans="12:12" ht="15.75" customHeight="1" x14ac:dyDescent="0.2">
      <c r="L480" s="21"/>
    </row>
    <row r="481" spans="12:12" ht="15.75" customHeight="1" x14ac:dyDescent="0.2">
      <c r="L481" s="21"/>
    </row>
    <row r="482" spans="12:12" ht="15.75" customHeight="1" x14ac:dyDescent="0.2">
      <c r="L482" s="21"/>
    </row>
    <row r="483" spans="12:12" ht="15.75" customHeight="1" x14ac:dyDescent="0.2">
      <c r="L483" s="21"/>
    </row>
    <row r="484" spans="12:12" ht="15.75" customHeight="1" x14ac:dyDescent="0.2">
      <c r="L484" s="21"/>
    </row>
    <row r="485" spans="12:12" ht="15.75" customHeight="1" x14ac:dyDescent="0.2">
      <c r="L485" s="21"/>
    </row>
    <row r="486" spans="12:12" ht="15.75" customHeight="1" x14ac:dyDescent="0.2">
      <c r="L486" s="21"/>
    </row>
    <row r="487" spans="12:12" ht="15.75" customHeight="1" x14ac:dyDescent="0.2">
      <c r="L487" s="21"/>
    </row>
    <row r="488" spans="12:12" ht="15.75" customHeight="1" x14ac:dyDescent="0.2">
      <c r="L488" s="21"/>
    </row>
    <row r="489" spans="12:12" ht="15.75" customHeight="1" x14ac:dyDescent="0.2">
      <c r="L489" s="21"/>
    </row>
    <row r="490" spans="12:12" ht="15.75" customHeight="1" x14ac:dyDescent="0.2">
      <c r="L490" s="21"/>
    </row>
    <row r="491" spans="12:12" ht="15.75" customHeight="1" x14ac:dyDescent="0.2">
      <c r="L491" s="21"/>
    </row>
    <row r="492" spans="12:12" ht="15.75" customHeight="1" x14ac:dyDescent="0.2">
      <c r="L492" s="21"/>
    </row>
    <row r="493" spans="12:12" ht="15.75" customHeight="1" x14ac:dyDescent="0.2">
      <c r="L493" s="21"/>
    </row>
    <row r="494" spans="12:12" ht="15.75" customHeight="1" x14ac:dyDescent="0.2">
      <c r="L494" s="21"/>
    </row>
    <row r="495" spans="12:12" ht="15.75" customHeight="1" x14ac:dyDescent="0.2">
      <c r="L495" s="21"/>
    </row>
    <row r="496" spans="12:12" ht="15.75" customHeight="1" x14ac:dyDescent="0.2">
      <c r="L496" s="21"/>
    </row>
    <row r="497" spans="12:12" ht="15.75" customHeight="1" x14ac:dyDescent="0.2">
      <c r="L497" s="21"/>
    </row>
    <row r="498" spans="12:12" ht="15.75" customHeight="1" x14ac:dyDescent="0.2">
      <c r="L498" s="21"/>
    </row>
    <row r="499" spans="12:12" ht="15.75" customHeight="1" x14ac:dyDescent="0.2">
      <c r="L499" s="21"/>
    </row>
    <row r="500" spans="12:12" ht="15.75" customHeight="1" x14ac:dyDescent="0.2">
      <c r="L500" s="21"/>
    </row>
    <row r="501" spans="12:12" ht="15.75" customHeight="1" x14ac:dyDescent="0.2">
      <c r="L501" s="21"/>
    </row>
    <row r="502" spans="12:12" ht="15.75" customHeight="1" x14ac:dyDescent="0.2">
      <c r="L502" s="21"/>
    </row>
    <row r="503" spans="12:12" ht="15.75" customHeight="1" x14ac:dyDescent="0.2">
      <c r="L503" s="21"/>
    </row>
    <row r="504" spans="12:12" ht="15.75" customHeight="1" x14ac:dyDescent="0.2">
      <c r="L504" s="21"/>
    </row>
    <row r="505" spans="12:12" ht="15.75" customHeight="1" x14ac:dyDescent="0.2">
      <c r="L505" s="21"/>
    </row>
    <row r="506" spans="12:12" ht="15.75" customHeight="1" x14ac:dyDescent="0.2">
      <c r="L506" s="21"/>
    </row>
    <row r="507" spans="12:12" ht="15.75" customHeight="1" x14ac:dyDescent="0.2">
      <c r="L507" s="21"/>
    </row>
    <row r="508" spans="12:12" ht="15.75" customHeight="1" x14ac:dyDescent="0.2">
      <c r="L508" s="21"/>
    </row>
    <row r="509" spans="12:12" ht="15.75" customHeight="1" x14ac:dyDescent="0.2">
      <c r="L509" s="21"/>
    </row>
    <row r="510" spans="12:12" ht="15.75" customHeight="1" x14ac:dyDescent="0.2">
      <c r="L510" s="21"/>
    </row>
    <row r="511" spans="12:12" ht="15.75" customHeight="1" x14ac:dyDescent="0.2">
      <c r="L511" s="21"/>
    </row>
    <row r="512" spans="12:12" ht="15.75" customHeight="1" x14ac:dyDescent="0.2">
      <c r="L512" s="21"/>
    </row>
    <row r="513" spans="12:12" ht="15.75" customHeight="1" x14ac:dyDescent="0.2">
      <c r="L513" s="21"/>
    </row>
    <row r="514" spans="12:12" ht="15.75" customHeight="1" x14ac:dyDescent="0.2">
      <c r="L514" s="21"/>
    </row>
    <row r="515" spans="12:12" ht="15.75" customHeight="1" x14ac:dyDescent="0.2">
      <c r="L515" s="21"/>
    </row>
    <row r="516" spans="12:12" ht="15.75" customHeight="1" x14ac:dyDescent="0.2">
      <c r="L516" s="21"/>
    </row>
    <row r="517" spans="12:12" ht="15.75" customHeight="1" x14ac:dyDescent="0.2">
      <c r="L517" s="21"/>
    </row>
    <row r="518" spans="12:12" ht="15.75" customHeight="1" x14ac:dyDescent="0.2">
      <c r="L518" s="21"/>
    </row>
    <row r="519" spans="12:12" ht="15.75" customHeight="1" x14ac:dyDescent="0.2">
      <c r="L519" s="21"/>
    </row>
    <row r="520" spans="12:12" ht="15.75" customHeight="1" x14ac:dyDescent="0.2">
      <c r="L520" s="21"/>
    </row>
    <row r="521" spans="12:12" ht="15.75" customHeight="1" x14ac:dyDescent="0.2">
      <c r="L521" s="21"/>
    </row>
    <row r="522" spans="12:12" ht="15.75" customHeight="1" x14ac:dyDescent="0.2">
      <c r="L522" s="21"/>
    </row>
    <row r="523" spans="12:12" ht="15.75" customHeight="1" x14ac:dyDescent="0.2">
      <c r="L523" s="21"/>
    </row>
    <row r="524" spans="12:12" ht="15.75" customHeight="1" x14ac:dyDescent="0.2">
      <c r="L524" s="21"/>
    </row>
    <row r="525" spans="12:12" ht="15.75" customHeight="1" x14ac:dyDescent="0.2">
      <c r="L525" s="21"/>
    </row>
    <row r="526" spans="12:12" ht="15.75" customHeight="1" x14ac:dyDescent="0.2">
      <c r="L526" s="21"/>
    </row>
    <row r="527" spans="12:12" ht="15.75" customHeight="1" x14ac:dyDescent="0.2">
      <c r="L527" s="21"/>
    </row>
    <row r="528" spans="12:12" ht="15.75" customHeight="1" x14ac:dyDescent="0.2">
      <c r="L528" s="21"/>
    </row>
    <row r="529" spans="12:12" ht="15.75" customHeight="1" x14ac:dyDescent="0.2">
      <c r="L529" s="21"/>
    </row>
    <row r="530" spans="12:12" ht="15.75" customHeight="1" x14ac:dyDescent="0.2">
      <c r="L530" s="21"/>
    </row>
    <row r="531" spans="12:12" ht="15.75" customHeight="1" x14ac:dyDescent="0.2">
      <c r="L531" s="21"/>
    </row>
    <row r="532" spans="12:12" ht="15.75" customHeight="1" x14ac:dyDescent="0.2">
      <c r="L532" s="21"/>
    </row>
    <row r="533" spans="12:12" ht="15.75" customHeight="1" x14ac:dyDescent="0.2">
      <c r="L533" s="21"/>
    </row>
    <row r="534" spans="12:12" ht="15.75" customHeight="1" x14ac:dyDescent="0.2">
      <c r="L534" s="21"/>
    </row>
    <row r="535" spans="12:12" ht="15.75" customHeight="1" x14ac:dyDescent="0.2">
      <c r="L535" s="21"/>
    </row>
    <row r="536" spans="12:12" ht="15.75" customHeight="1" x14ac:dyDescent="0.2">
      <c r="L536" s="21"/>
    </row>
    <row r="537" spans="12:12" ht="15.75" customHeight="1" x14ac:dyDescent="0.2">
      <c r="L537" s="21"/>
    </row>
    <row r="538" spans="12:12" ht="15.75" customHeight="1" x14ac:dyDescent="0.2">
      <c r="L538" s="21"/>
    </row>
    <row r="539" spans="12:12" ht="15.75" customHeight="1" x14ac:dyDescent="0.2">
      <c r="L539" s="21"/>
    </row>
    <row r="540" spans="12:12" ht="15.75" customHeight="1" x14ac:dyDescent="0.2">
      <c r="L540" s="21"/>
    </row>
    <row r="541" spans="12:12" ht="15.75" customHeight="1" x14ac:dyDescent="0.2">
      <c r="L541" s="21"/>
    </row>
    <row r="542" spans="12:12" ht="15.75" customHeight="1" x14ac:dyDescent="0.2">
      <c r="L542" s="21"/>
    </row>
    <row r="543" spans="12:12" ht="15.75" customHeight="1" x14ac:dyDescent="0.2">
      <c r="L543" s="21"/>
    </row>
    <row r="544" spans="12:12" ht="15.75" customHeight="1" x14ac:dyDescent="0.2">
      <c r="L544" s="21"/>
    </row>
    <row r="545" spans="12:12" ht="15.75" customHeight="1" x14ac:dyDescent="0.2">
      <c r="L545" s="21"/>
    </row>
    <row r="546" spans="12:12" ht="15.75" customHeight="1" x14ac:dyDescent="0.2">
      <c r="L546" s="21"/>
    </row>
    <row r="547" spans="12:12" ht="15.75" customHeight="1" x14ac:dyDescent="0.2">
      <c r="L547" s="21"/>
    </row>
    <row r="548" spans="12:12" ht="15.75" customHeight="1" x14ac:dyDescent="0.2">
      <c r="L548" s="21"/>
    </row>
    <row r="549" spans="12:12" ht="15.75" customHeight="1" x14ac:dyDescent="0.2">
      <c r="L549" s="21"/>
    </row>
    <row r="550" spans="12:12" ht="15.75" customHeight="1" x14ac:dyDescent="0.2">
      <c r="L550" s="21"/>
    </row>
    <row r="551" spans="12:12" ht="15.75" customHeight="1" x14ac:dyDescent="0.2">
      <c r="L551" s="21"/>
    </row>
    <row r="552" spans="12:12" ht="15.75" customHeight="1" x14ac:dyDescent="0.2">
      <c r="L552" s="21"/>
    </row>
    <row r="553" spans="12:12" ht="15.75" customHeight="1" x14ac:dyDescent="0.2">
      <c r="L553" s="21"/>
    </row>
    <row r="554" spans="12:12" ht="15.75" customHeight="1" x14ac:dyDescent="0.2">
      <c r="L554" s="21"/>
    </row>
    <row r="555" spans="12:12" ht="15.75" customHeight="1" x14ac:dyDescent="0.2">
      <c r="L555" s="21"/>
    </row>
    <row r="556" spans="12:12" ht="15.75" customHeight="1" x14ac:dyDescent="0.2">
      <c r="L556" s="21"/>
    </row>
    <row r="557" spans="12:12" ht="15.75" customHeight="1" x14ac:dyDescent="0.2">
      <c r="L557" s="21"/>
    </row>
    <row r="558" spans="12:12" ht="15.75" customHeight="1" x14ac:dyDescent="0.2">
      <c r="L558" s="21"/>
    </row>
    <row r="559" spans="12:12" ht="15.75" customHeight="1" x14ac:dyDescent="0.2">
      <c r="L559" s="21"/>
    </row>
    <row r="560" spans="12:12" ht="15.75" customHeight="1" x14ac:dyDescent="0.2">
      <c r="L560" s="21"/>
    </row>
    <row r="561" spans="12:12" ht="15.75" customHeight="1" x14ac:dyDescent="0.2">
      <c r="L561" s="21"/>
    </row>
    <row r="562" spans="12:12" ht="15.75" customHeight="1" x14ac:dyDescent="0.2">
      <c r="L562" s="21"/>
    </row>
    <row r="563" spans="12:12" ht="15.75" customHeight="1" x14ac:dyDescent="0.2">
      <c r="L563" s="21"/>
    </row>
    <row r="564" spans="12:12" ht="15.75" customHeight="1" x14ac:dyDescent="0.2">
      <c r="L564" s="21"/>
    </row>
    <row r="565" spans="12:12" ht="15.75" customHeight="1" x14ac:dyDescent="0.2">
      <c r="L565" s="21"/>
    </row>
    <row r="566" spans="12:12" ht="15.75" customHeight="1" x14ac:dyDescent="0.2">
      <c r="L566" s="21"/>
    </row>
    <row r="567" spans="12:12" ht="15.75" customHeight="1" x14ac:dyDescent="0.2">
      <c r="L567" s="21"/>
    </row>
    <row r="568" spans="12:12" ht="15.75" customHeight="1" x14ac:dyDescent="0.2">
      <c r="L568" s="21"/>
    </row>
    <row r="569" spans="12:12" ht="15.75" customHeight="1" x14ac:dyDescent="0.2">
      <c r="L569" s="21"/>
    </row>
    <row r="570" spans="12:12" ht="15.75" customHeight="1" x14ac:dyDescent="0.2">
      <c r="L570" s="21"/>
    </row>
    <row r="571" spans="12:12" ht="15.75" customHeight="1" x14ac:dyDescent="0.2">
      <c r="L571" s="21"/>
    </row>
    <row r="572" spans="12:12" ht="15.75" customHeight="1" x14ac:dyDescent="0.2">
      <c r="L572" s="21"/>
    </row>
    <row r="573" spans="12:12" ht="15.75" customHeight="1" x14ac:dyDescent="0.2">
      <c r="L573" s="21"/>
    </row>
    <row r="574" spans="12:12" ht="15.75" customHeight="1" x14ac:dyDescent="0.2">
      <c r="L574" s="21"/>
    </row>
    <row r="575" spans="12:12" ht="15.75" customHeight="1" x14ac:dyDescent="0.2">
      <c r="L575" s="21"/>
    </row>
    <row r="576" spans="12:12" ht="15.75" customHeight="1" x14ac:dyDescent="0.2">
      <c r="L576" s="21"/>
    </row>
    <row r="577" spans="12:12" ht="15.75" customHeight="1" x14ac:dyDescent="0.2">
      <c r="L577" s="21"/>
    </row>
    <row r="578" spans="12:12" ht="15.75" customHeight="1" x14ac:dyDescent="0.2">
      <c r="L578" s="21"/>
    </row>
    <row r="579" spans="12:12" ht="15.75" customHeight="1" x14ac:dyDescent="0.2">
      <c r="L579" s="21"/>
    </row>
    <row r="580" spans="12:12" ht="15.75" customHeight="1" x14ac:dyDescent="0.2">
      <c r="L580" s="21"/>
    </row>
    <row r="581" spans="12:12" ht="15.75" customHeight="1" x14ac:dyDescent="0.2">
      <c r="L581" s="21"/>
    </row>
    <row r="582" spans="12:12" ht="15.75" customHeight="1" x14ac:dyDescent="0.2">
      <c r="L582" s="21"/>
    </row>
    <row r="583" spans="12:12" ht="15.75" customHeight="1" x14ac:dyDescent="0.2">
      <c r="L583" s="21"/>
    </row>
    <row r="584" spans="12:12" ht="15.75" customHeight="1" x14ac:dyDescent="0.2">
      <c r="L584" s="21"/>
    </row>
    <row r="585" spans="12:12" ht="15.75" customHeight="1" x14ac:dyDescent="0.2">
      <c r="L585" s="21"/>
    </row>
    <row r="586" spans="12:12" ht="15.75" customHeight="1" x14ac:dyDescent="0.2">
      <c r="L586" s="21"/>
    </row>
    <row r="587" spans="12:12" ht="15.75" customHeight="1" x14ac:dyDescent="0.2">
      <c r="L587" s="21"/>
    </row>
    <row r="588" spans="12:12" ht="15.75" customHeight="1" x14ac:dyDescent="0.2">
      <c r="L588" s="21"/>
    </row>
    <row r="589" spans="12:12" ht="15.75" customHeight="1" x14ac:dyDescent="0.2">
      <c r="L589" s="21"/>
    </row>
    <row r="590" spans="12:12" ht="15.75" customHeight="1" x14ac:dyDescent="0.2">
      <c r="L590" s="21"/>
    </row>
    <row r="591" spans="12:12" ht="15.75" customHeight="1" x14ac:dyDescent="0.2">
      <c r="L591" s="21"/>
    </row>
    <row r="592" spans="12:12" ht="15.75" customHeight="1" x14ac:dyDescent="0.2">
      <c r="L592" s="21"/>
    </row>
    <row r="593" spans="12:12" ht="15.75" customHeight="1" x14ac:dyDescent="0.2">
      <c r="L593" s="21"/>
    </row>
    <row r="594" spans="12:12" ht="15.75" customHeight="1" x14ac:dyDescent="0.2">
      <c r="L594" s="21"/>
    </row>
    <row r="595" spans="12:12" ht="15.75" customHeight="1" x14ac:dyDescent="0.2">
      <c r="L595" s="21"/>
    </row>
    <row r="596" spans="12:12" ht="15.75" customHeight="1" x14ac:dyDescent="0.2">
      <c r="L596" s="21"/>
    </row>
    <row r="597" spans="12:12" ht="15.75" customHeight="1" x14ac:dyDescent="0.2">
      <c r="L597" s="21"/>
    </row>
    <row r="598" spans="12:12" ht="15.75" customHeight="1" x14ac:dyDescent="0.2">
      <c r="L598" s="21"/>
    </row>
    <row r="599" spans="12:12" ht="15.75" customHeight="1" x14ac:dyDescent="0.2">
      <c r="L599" s="21"/>
    </row>
    <row r="600" spans="12:12" ht="15.75" customHeight="1" x14ac:dyDescent="0.2">
      <c r="L600" s="21"/>
    </row>
    <row r="601" spans="12:12" ht="15.75" customHeight="1" x14ac:dyDescent="0.2">
      <c r="L601" s="21"/>
    </row>
    <row r="602" spans="12:12" ht="15.75" customHeight="1" x14ac:dyDescent="0.2">
      <c r="L602" s="21"/>
    </row>
    <row r="603" spans="12:12" ht="15.75" customHeight="1" x14ac:dyDescent="0.2">
      <c r="L603" s="21"/>
    </row>
    <row r="604" spans="12:12" ht="15.75" customHeight="1" x14ac:dyDescent="0.2">
      <c r="L604" s="21"/>
    </row>
    <row r="605" spans="12:12" ht="15.75" customHeight="1" x14ac:dyDescent="0.2">
      <c r="L605" s="21"/>
    </row>
    <row r="606" spans="12:12" ht="15.75" customHeight="1" x14ac:dyDescent="0.2">
      <c r="L606" s="21"/>
    </row>
    <row r="607" spans="12:12" ht="15.75" customHeight="1" x14ac:dyDescent="0.2">
      <c r="L607" s="21"/>
    </row>
    <row r="608" spans="12:12" ht="15.75" customHeight="1" x14ac:dyDescent="0.2">
      <c r="L608" s="21"/>
    </row>
    <row r="609" spans="12:12" ht="15.75" customHeight="1" x14ac:dyDescent="0.2">
      <c r="L609" s="21"/>
    </row>
    <row r="610" spans="12:12" ht="15.75" customHeight="1" x14ac:dyDescent="0.2">
      <c r="L610" s="21"/>
    </row>
    <row r="611" spans="12:12" ht="15.75" customHeight="1" x14ac:dyDescent="0.2">
      <c r="L611" s="21"/>
    </row>
    <row r="612" spans="12:12" ht="15.75" customHeight="1" x14ac:dyDescent="0.2">
      <c r="L612" s="21"/>
    </row>
    <row r="613" spans="12:12" ht="15.75" customHeight="1" x14ac:dyDescent="0.2">
      <c r="L613" s="21"/>
    </row>
    <row r="614" spans="12:12" ht="15.75" customHeight="1" x14ac:dyDescent="0.2">
      <c r="L614" s="21"/>
    </row>
    <row r="615" spans="12:12" ht="15.75" customHeight="1" x14ac:dyDescent="0.2">
      <c r="L615" s="21"/>
    </row>
    <row r="616" spans="12:12" ht="15.75" customHeight="1" x14ac:dyDescent="0.2">
      <c r="L616" s="21"/>
    </row>
    <row r="617" spans="12:12" ht="15.75" customHeight="1" x14ac:dyDescent="0.2">
      <c r="L617" s="21"/>
    </row>
    <row r="618" spans="12:12" ht="15.75" customHeight="1" x14ac:dyDescent="0.2">
      <c r="L618" s="21"/>
    </row>
    <row r="619" spans="12:12" ht="15.75" customHeight="1" x14ac:dyDescent="0.2">
      <c r="L619" s="21"/>
    </row>
    <row r="620" spans="12:12" ht="15.75" customHeight="1" x14ac:dyDescent="0.2">
      <c r="L620" s="21"/>
    </row>
    <row r="621" spans="12:12" ht="15.75" customHeight="1" x14ac:dyDescent="0.2">
      <c r="L621" s="21"/>
    </row>
    <row r="622" spans="12:12" ht="15.75" customHeight="1" x14ac:dyDescent="0.2">
      <c r="L622" s="21"/>
    </row>
    <row r="623" spans="12:12" ht="15.75" customHeight="1" x14ac:dyDescent="0.2">
      <c r="L623" s="21"/>
    </row>
    <row r="624" spans="12:12" ht="15.75" customHeight="1" x14ac:dyDescent="0.2">
      <c r="L624" s="21"/>
    </row>
    <row r="625" spans="12:12" ht="15.75" customHeight="1" x14ac:dyDescent="0.2">
      <c r="L625" s="21"/>
    </row>
    <row r="626" spans="12:12" ht="15.75" customHeight="1" x14ac:dyDescent="0.2">
      <c r="L626" s="21"/>
    </row>
    <row r="627" spans="12:12" ht="15.75" customHeight="1" x14ac:dyDescent="0.2">
      <c r="L627" s="21"/>
    </row>
    <row r="628" spans="12:12" ht="15.75" customHeight="1" x14ac:dyDescent="0.2">
      <c r="L628" s="21"/>
    </row>
    <row r="629" spans="12:12" ht="15.75" customHeight="1" x14ac:dyDescent="0.2">
      <c r="L629" s="21"/>
    </row>
    <row r="630" spans="12:12" ht="15.75" customHeight="1" x14ac:dyDescent="0.2">
      <c r="L630" s="21"/>
    </row>
    <row r="631" spans="12:12" ht="15.75" customHeight="1" x14ac:dyDescent="0.2">
      <c r="L631" s="21"/>
    </row>
    <row r="632" spans="12:12" ht="15.75" customHeight="1" x14ac:dyDescent="0.2">
      <c r="L632" s="21"/>
    </row>
    <row r="633" spans="12:12" ht="15.75" customHeight="1" x14ac:dyDescent="0.2">
      <c r="L633" s="21"/>
    </row>
    <row r="634" spans="12:12" ht="15.75" customHeight="1" x14ac:dyDescent="0.2">
      <c r="L634" s="21"/>
    </row>
    <row r="635" spans="12:12" ht="15.75" customHeight="1" x14ac:dyDescent="0.2">
      <c r="L635" s="21"/>
    </row>
    <row r="636" spans="12:12" ht="15.75" customHeight="1" x14ac:dyDescent="0.2">
      <c r="L636" s="21"/>
    </row>
    <row r="637" spans="12:12" ht="15.75" customHeight="1" x14ac:dyDescent="0.2">
      <c r="L637" s="21"/>
    </row>
    <row r="638" spans="12:12" ht="15.75" customHeight="1" x14ac:dyDescent="0.2">
      <c r="L638" s="21"/>
    </row>
    <row r="639" spans="12:12" ht="15.75" customHeight="1" x14ac:dyDescent="0.2">
      <c r="L639" s="21"/>
    </row>
    <row r="640" spans="12:12" ht="15.75" customHeight="1" x14ac:dyDescent="0.2">
      <c r="L640" s="21"/>
    </row>
    <row r="641" spans="12:12" ht="15.75" customHeight="1" x14ac:dyDescent="0.2">
      <c r="L641" s="21"/>
    </row>
    <row r="642" spans="12:12" ht="15.75" customHeight="1" x14ac:dyDescent="0.2">
      <c r="L642" s="21"/>
    </row>
    <row r="643" spans="12:12" ht="15.75" customHeight="1" x14ac:dyDescent="0.2">
      <c r="L643" s="21"/>
    </row>
    <row r="644" spans="12:12" ht="15.75" customHeight="1" x14ac:dyDescent="0.2">
      <c r="L644" s="21"/>
    </row>
    <row r="645" spans="12:12" ht="15.75" customHeight="1" x14ac:dyDescent="0.2">
      <c r="L645" s="21"/>
    </row>
    <row r="646" spans="12:12" ht="15.75" customHeight="1" x14ac:dyDescent="0.2">
      <c r="L646" s="21"/>
    </row>
    <row r="647" spans="12:12" ht="15.75" customHeight="1" x14ac:dyDescent="0.2">
      <c r="L647" s="21"/>
    </row>
    <row r="648" spans="12:12" ht="15.75" customHeight="1" x14ac:dyDescent="0.2">
      <c r="L648" s="21"/>
    </row>
    <row r="649" spans="12:12" ht="15.75" customHeight="1" x14ac:dyDescent="0.2">
      <c r="L649" s="21"/>
    </row>
    <row r="650" spans="12:12" ht="15.75" customHeight="1" x14ac:dyDescent="0.2">
      <c r="L650" s="21"/>
    </row>
    <row r="651" spans="12:12" ht="15.75" customHeight="1" x14ac:dyDescent="0.2">
      <c r="L651" s="21"/>
    </row>
    <row r="652" spans="12:12" ht="15.75" customHeight="1" x14ac:dyDescent="0.2">
      <c r="L652" s="21"/>
    </row>
    <row r="653" spans="12:12" ht="15.75" customHeight="1" x14ac:dyDescent="0.2">
      <c r="L653" s="21"/>
    </row>
    <row r="654" spans="12:12" ht="15.75" customHeight="1" x14ac:dyDescent="0.2">
      <c r="L654" s="21"/>
    </row>
    <row r="655" spans="12:12" ht="15.75" customHeight="1" x14ac:dyDescent="0.2">
      <c r="L655" s="21"/>
    </row>
    <row r="656" spans="12:12" ht="15.75" customHeight="1" x14ac:dyDescent="0.2">
      <c r="L656" s="21"/>
    </row>
    <row r="657" spans="12:12" ht="15.75" customHeight="1" x14ac:dyDescent="0.2">
      <c r="L657" s="21"/>
    </row>
    <row r="658" spans="12:12" ht="15.75" customHeight="1" x14ac:dyDescent="0.2">
      <c r="L658" s="21"/>
    </row>
    <row r="659" spans="12:12" ht="15.75" customHeight="1" x14ac:dyDescent="0.2">
      <c r="L659" s="21"/>
    </row>
    <row r="660" spans="12:12" ht="15.75" customHeight="1" x14ac:dyDescent="0.2">
      <c r="L660" s="21"/>
    </row>
    <row r="661" spans="12:12" ht="15.75" customHeight="1" x14ac:dyDescent="0.2">
      <c r="L661" s="21"/>
    </row>
    <row r="662" spans="12:12" ht="15.75" customHeight="1" x14ac:dyDescent="0.2">
      <c r="L662" s="21"/>
    </row>
    <row r="663" spans="12:12" ht="15.75" customHeight="1" x14ac:dyDescent="0.2">
      <c r="L663" s="21"/>
    </row>
    <row r="664" spans="12:12" ht="15.75" customHeight="1" x14ac:dyDescent="0.2">
      <c r="L664" s="21"/>
    </row>
    <row r="665" spans="12:12" ht="15.75" customHeight="1" x14ac:dyDescent="0.2">
      <c r="L665" s="21"/>
    </row>
    <row r="666" spans="12:12" ht="15.75" customHeight="1" x14ac:dyDescent="0.2">
      <c r="L666" s="21"/>
    </row>
    <row r="667" spans="12:12" ht="15.75" customHeight="1" x14ac:dyDescent="0.2">
      <c r="L667" s="21"/>
    </row>
    <row r="668" spans="12:12" ht="15.75" customHeight="1" x14ac:dyDescent="0.2">
      <c r="L668" s="21"/>
    </row>
    <row r="669" spans="12:12" ht="15.75" customHeight="1" x14ac:dyDescent="0.2">
      <c r="L669" s="21"/>
    </row>
    <row r="670" spans="12:12" ht="15.75" customHeight="1" x14ac:dyDescent="0.2">
      <c r="L670" s="21"/>
    </row>
    <row r="671" spans="12:12" ht="15.75" customHeight="1" x14ac:dyDescent="0.2">
      <c r="L671" s="21"/>
    </row>
    <row r="672" spans="12:12" ht="15.75" customHeight="1" x14ac:dyDescent="0.2">
      <c r="L672" s="21"/>
    </row>
    <row r="673" spans="12:12" ht="15.75" customHeight="1" x14ac:dyDescent="0.2">
      <c r="L673" s="21"/>
    </row>
    <row r="674" spans="12:12" ht="15.75" customHeight="1" x14ac:dyDescent="0.2">
      <c r="L674" s="21"/>
    </row>
    <row r="675" spans="12:12" ht="15.75" customHeight="1" x14ac:dyDescent="0.2">
      <c r="L675" s="21"/>
    </row>
    <row r="676" spans="12:12" ht="15.75" customHeight="1" x14ac:dyDescent="0.2">
      <c r="L676" s="21"/>
    </row>
    <row r="677" spans="12:12" ht="15.75" customHeight="1" x14ac:dyDescent="0.2">
      <c r="L677" s="21"/>
    </row>
    <row r="678" spans="12:12" ht="15.75" customHeight="1" x14ac:dyDescent="0.2">
      <c r="L678" s="21"/>
    </row>
    <row r="679" spans="12:12" ht="15.75" customHeight="1" x14ac:dyDescent="0.2">
      <c r="L679" s="21"/>
    </row>
    <row r="680" spans="12:12" ht="15.75" customHeight="1" x14ac:dyDescent="0.2">
      <c r="L680" s="21"/>
    </row>
    <row r="681" spans="12:12" ht="15.75" customHeight="1" x14ac:dyDescent="0.2">
      <c r="L681" s="21"/>
    </row>
    <row r="682" spans="12:12" ht="15.75" customHeight="1" x14ac:dyDescent="0.2">
      <c r="L682" s="21"/>
    </row>
    <row r="683" spans="12:12" ht="15.75" customHeight="1" x14ac:dyDescent="0.2">
      <c r="L683" s="21"/>
    </row>
    <row r="684" spans="12:12" ht="15.75" customHeight="1" x14ac:dyDescent="0.2">
      <c r="L684" s="21"/>
    </row>
    <row r="685" spans="12:12" ht="15.75" customHeight="1" x14ac:dyDescent="0.2">
      <c r="L685" s="21"/>
    </row>
    <row r="686" spans="12:12" ht="15.75" customHeight="1" x14ac:dyDescent="0.2">
      <c r="L686" s="21"/>
    </row>
    <row r="687" spans="12:12" ht="15.75" customHeight="1" x14ac:dyDescent="0.2">
      <c r="L687" s="21"/>
    </row>
    <row r="688" spans="12:12" ht="15.75" customHeight="1" x14ac:dyDescent="0.2">
      <c r="L688" s="21"/>
    </row>
    <row r="689" spans="12:12" ht="15.75" customHeight="1" x14ac:dyDescent="0.2">
      <c r="L689" s="21"/>
    </row>
    <row r="690" spans="12:12" ht="15.75" customHeight="1" x14ac:dyDescent="0.2">
      <c r="L690" s="21"/>
    </row>
    <row r="691" spans="12:12" ht="15.75" customHeight="1" x14ac:dyDescent="0.2">
      <c r="L691" s="21"/>
    </row>
    <row r="692" spans="12:12" ht="15.75" customHeight="1" x14ac:dyDescent="0.2">
      <c r="L692" s="21"/>
    </row>
    <row r="693" spans="12:12" ht="15.75" customHeight="1" x14ac:dyDescent="0.2">
      <c r="L693" s="21"/>
    </row>
    <row r="694" spans="12:12" ht="15.75" customHeight="1" x14ac:dyDescent="0.2">
      <c r="L694" s="21"/>
    </row>
    <row r="695" spans="12:12" ht="15.75" customHeight="1" x14ac:dyDescent="0.2">
      <c r="L695" s="21"/>
    </row>
    <row r="696" spans="12:12" ht="15.75" customHeight="1" x14ac:dyDescent="0.2">
      <c r="L696" s="21"/>
    </row>
    <row r="697" spans="12:12" ht="15.75" customHeight="1" x14ac:dyDescent="0.2">
      <c r="L697" s="21"/>
    </row>
    <row r="698" spans="12:12" ht="15.75" customHeight="1" x14ac:dyDescent="0.2">
      <c r="L698" s="21"/>
    </row>
    <row r="699" spans="12:12" ht="15.75" customHeight="1" x14ac:dyDescent="0.2">
      <c r="L699" s="21"/>
    </row>
    <row r="700" spans="12:12" ht="15.75" customHeight="1" x14ac:dyDescent="0.2">
      <c r="L700" s="21"/>
    </row>
    <row r="701" spans="12:12" ht="15.75" customHeight="1" x14ac:dyDescent="0.2">
      <c r="L701" s="21"/>
    </row>
    <row r="702" spans="12:12" ht="15.75" customHeight="1" x14ac:dyDescent="0.2">
      <c r="L702" s="21"/>
    </row>
    <row r="703" spans="12:12" ht="15.75" customHeight="1" x14ac:dyDescent="0.2">
      <c r="L703" s="21"/>
    </row>
    <row r="704" spans="12:12" ht="15.75" customHeight="1" x14ac:dyDescent="0.2">
      <c r="L704" s="21"/>
    </row>
    <row r="705" spans="12:12" ht="15.75" customHeight="1" x14ac:dyDescent="0.2">
      <c r="L705" s="21"/>
    </row>
    <row r="706" spans="12:12" ht="15.75" customHeight="1" x14ac:dyDescent="0.2">
      <c r="L706" s="21"/>
    </row>
    <row r="707" spans="12:12" ht="15.75" customHeight="1" x14ac:dyDescent="0.2">
      <c r="L707" s="21"/>
    </row>
    <row r="708" spans="12:12" ht="15.75" customHeight="1" x14ac:dyDescent="0.2">
      <c r="L708" s="21"/>
    </row>
    <row r="709" spans="12:12" ht="15.75" customHeight="1" x14ac:dyDescent="0.2">
      <c r="L709" s="21"/>
    </row>
    <row r="710" spans="12:12" ht="15.75" customHeight="1" x14ac:dyDescent="0.2">
      <c r="L710" s="21"/>
    </row>
    <row r="711" spans="12:12" ht="15.75" customHeight="1" x14ac:dyDescent="0.2">
      <c r="L711" s="21"/>
    </row>
    <row r="712" spans="12:12" ht="15.75" customHeight="1" x14ac:dyDescent="0.2">
      <c r="L712" s="21"/>
    </row>
    <row r="713" spans="12:12" ht="15.75" customHeight="1" x14ac:dyDescent="0.2">
      <c r="L713" s="21"/>
    </row>
    <row r="714" spans="12:12" ht="15.75" customHeight="1" x14ac:dyDescent="0.2">
      <c r="L714" s="21"/>
    </row>
    <row r="715" spans="12:12" ht="15.75" customHeight="1" x14ac:dyDescent="0.2">
      <c r="L715" s="21"/>
    </row>
    <row r="716" spans="12:12" ht="15.75" customHeight="1" x14ac:dyDescent="0.2">
      <c r="L716" s="21"/>
    </row>
    <row r="717" spans="12:12" ht="15.75" customHeight="1" x14ac:dyDescent="0.2">
      <c r="L717" s="21"/>
    </row>
    <row r="718" spans="12:12" ht="15.75" customHeight="1" x14ac:dyDescent="0.2">
      <c r="L718" s="21"/>
    </row>
    <row r="719" spans="12:12" ht="15.75" customHeight="1" x14ac:dyDescent="0.2">
      <c r="L719" s="21"/>
    </row>
    <row r="720" spans="12:12" ht="15.75" customHeight="1" x14ac:dyDescent="0.2">
      <c r="L720" s="21"/>
    </row>
    <row r="721" spans="12:12" ht="15.75" customHeight="1" x14ac:dyDescent="0.2">
      <c r="L721" s="21"/>
    </row>
    <row r="722" spans="12:12" ht="15.75" customHeight="1" x14ac:dyDescent="0.2">
      <c r="L722" s="21"/>
    </row>
    <row r="723" spans="12:12" ht="15.75" customHeight="1" x14ac:dyDescent="0.2">
      <c r="L723" s="21"/>
    </row>
    <row r="724" spans="12:12" ht="15.75" customHeight="1" x14ac:dyDescent="0.2">
      <c r="L724" s="21"/>
    </row>
    <row r="725" spans="12:12" ht="15.75" customHeight="1" x14ac:dyDescent="0.2">
      <c r="L725" s="21"/>
    </row>
    <row r="726" spans="12:12" ht="15.75" customHeight="1" x14ac:dyDescent="0.2">
      <c r="L726" s="21"/>
    </row>
    <row r="727" spans="12:12" ht="15.75" customHeight="1" x14ac:dyDescent="0.2">
      <c r="L727" s="21"/>
    </row>
    <row r="728" spans="12:12" ht="15.75" customHeight="1" x14ac:dyDescent="0.2">
      <c r="L728" s="21"/>
    </row>
    <row r="729" spans="12:12" ht="15.75" customHeight="1" x14ac:dyDescent="0.2">
      <c r="L729" s="21"/>
    </row>
    <row r="730" spans="12:12" ht="15.75" customHeight="1" x14ac:dyDescent="0.2">
      <c r="L730" s="21"/>
    </row>
    <row r="731" spans="12:12" ht="15.75" customHeight="1" x14ac:dyDescent="0.2">
      <c r="L731" s="21"/>
    </row>
    <row r="732" spans="12:12" ht="15.75" customHeight="1" x14ac:dyDescent="0.2">
      <c r="L732" s="21"/>
    </row>
    <row r="733" spans="12:12" ht="15.75" customHeight="1" x14ac:dyDescent="0.2">
      <c r="L733" s="21"/>
    </row>
    <row r="734" spans="12:12" ht="15.75" customHeight="1" x14ac:dyDescent="0.2">
      <c r="L734" s="21"/>
    </row>
    <row r="735" spans="12:12" ht="15.75" customHeight="1" x14ac:dyDescent="0.2">
      <c r="L735" s="21"/>
    </row>
    <row r="736" spans="12:12" ht="15.75" customHeight="1" x14ac:dyDescent="0.2">
      <c r="L736" s="21"/>
    </row>
    <row r="737" spans="12:12" ht="15.75" customHeight="1" x14ac:dyDescent="0.2">
      <c r="L737" s="21"/>
    </row>
    <row r="738" spans="12:12" ht="15.75" customHeight="1" x14ac:dyDescent="0.2">
      <c r="L738" s="21"/>
    </row>
    <row r="739" spans="12:12" ht="15.75" customHeight="1" x14ac:dyDescent="0.2">
      <c r="L739" s="21"/>
    </row>
    <row r="740" spans="12:12" ht="15.75" customHeight="1" x14ac:dyDescent="0.2">
      <c r="L740" s="21"/>
    </row>
    <row r="741" spans="12:12" ht="15.75" customHeight="1" x14ac:dyDescent="0.2">
      <c r="L741" s="21"/>
    </row>
    <row r="742" spans="12:12" ht="15.75" customHeight="1" x14ac:dyDescent="0.2">
      <c r="L742" s="21"/>
    </row>
    <row r="743" spans="12:12" ht="15.75" customHeight="1" x14ac:dyDescent="0.2">
      <c r="L743" s="21"/>
    </row>
    <row r="744" spans="12:12" ht="15.75" customHeight="1" x14ac:dyDescent="0.2">
      <c r="L744" s="21"/>
    </row>
    <row r="745" spans="12:12" ht="15.75" customHeight="1" x14ac:dyDescent="0.2">
      <c r="L745" s="21"/>
    </row>
    <row r="746" spans="12:12" ht="15.75" customHeight="1" x14ac:dyDescent="0.2">
      <c r="L746" s="21"/>
    </row>
    <row r="747" spans="12:12" ht="15.75" customHeight="1" x14ac:dyDescent="0.2">
      <c r="L747" s="21"/>
    </row>
    <row r="748" spans="12:12" ht="15.75" customHeight="1" x14ac:dyDescent="0.2">
      <c r="L748" s="21"/>
    </row>
    <row r="749" spans="12:12" ht="15.75" customHeight="1" x14ac:dyDescent="0.2">
      <c r="L749" s="21"/>
    </row>
    <row r="750" spans="12:12" ht="15.75" customHeight="1" x14ac:dyDescent="0.2">
      <c r="L750" s="21"/>
    </row>
    <row r="751" spans="12:12" ht="15.75" customHeight="1" x14ac:dyDescent="0.2">
      <c r="L751" s="21"/>
    </row>
    <row r="752" spans="12:12" ht="15.75" customHeight="1" x14ac:dyDescent="0.2">
      <c r="L752" s="21"/>
    </row>
    <row r="753" spans="12:12" ht="15.75" customHeight="1" x14ac:dyDescent="0.2">
      <c r="L753" s="21"/>
    </row>
    <row r="754" spans="12:12" ht="15.75" customHeight="1" x14ac:dyDescent="0.2">
      <c r="L754" s="21"/>
    </row>
    <row r="755" spans="12:12" ht="15.75" customHeight="1" x14ac:dyDescent="0.2">
      <c r="L755" s="21"/>
    </row>
    <row r="756" spans="12:12" ht="15.75" customHeight="1" x14ac:dyDescent="0.2">
      <c r="L756" s="21"/>
    </row>
    <row r="757" spans="12:12" ht="15.75" customHeight="1" x14ac:dyDescent="0.2">
      <c r="L757" s="21"/>
    </row>
    <row r="758" spans="12:12" ht="15.75" customHeight="1" x14ac:dyDescent="0.2">
      <c r="L758" s="21"/>
    </row>
    <row r="759" spans="12:12" ht="15.75" customHeight="1" x14ac:dyDescent="0.2">
      <c r="L759" s="21"/>
    </row>
    <row r="760" spans="12:12" ht="15.75" customHeight="1" x14ac:dyDescent="0.2">
      <c r="L760" s="21"/>
    </row>
    <row r="761" spans="12:12" ht="15.75" customHeight="1" x14ac:dyDescent="0.2">
      <c r="L761" s="21"/>
    </row>
    <row r="762" spans="12:12" ht="15.75" customHeight="1" x14ac:dyDescent="0.2">
      <c r="L762" s="21"/>
    </row>
    <row r="763" spans="12:12" ht="15.75" customHeight="1" x14ac:dyDescent="0.2">
      <c r="L763" s="21"/>
    </row>
    <row r="764" spans="12:12" ht="15.75" customHeight="1" x14ac:dyDescent="0.2">
      <c r="L764" s="21"/>
    </row>
    <row r="765" spans="12:12" ht="15.75" customHeight="1" x14ac:dyDescent="0.2">
      <c r="L765" s="21"/>
    </row>
    <row r="766" spans="12:12" ht="15.75" customHeight="1" x14ac:dyDescent="0.2">
      <c r="L766" s="21"/>
    </row>
    <row r="767" spans="12:12" ht="15.75" customHeight="1" x14ac:dyDescent="0.2">
      <c r="L767" s="21"/>
    </row>
    <row r="768" spans="12:12" ht="15.75" customHeight="1" x14ac:dyDescent="0.2">
      <c r="L768" s="21"/>
    </row>
    <row r="769" spans="12:12" ht="15.75" customHeight="1" x14ac:dyDescent="0.2">
      <c r="L769" s="21"/>
    </row>
    <row r="770" spans="12:12" ht="15.75" customHeight="1" x14ac:dyDescent="0.2">
      <c r="L770" s="21"/>
    </row>
    <row r="771" spans="12:12" ht="15.75" customHeight="1" x14ac:dyDescent="0.2">
      <c r="L771" s="21"/>
    </row>
    <row r="772" spans="12:12" ht="15.75" customHeight="1" x14ac:dyDescent="0.2">
      <c r="L772" s="21"/>
    </row>
    <row r="773" spans="12:12" ht="15.75" customHeight="1" x14ac:dyDescent="0.2">
      <c r="L773" s="21"/>
    </row>
    <row r="774" spans="12:12" ht="15.75" customHeight="1" x14ac:dyDescent="0.2">
      <c r="L774" s="21"/>
    </row>
    <row r="775" spans="12:12" ht="15.75" customHeight="1" x14ac:dyDescent="0.2">
      <c r="L775" s="21"/>
    </row>
    <row r="776" spans="12:12" ht="15.75" customHeight="1" x14ac:dyDescent="0.2">
      <c r="L776" s="21"/>
    </row>
    <row r="777" spans="12:12" ht="15.75" customHeight="1" x14ac:dyDescent="0.2">
      <c r="L777" s="21"/>
    </row>
    <row r="778" spans="12:12" ht="15.75" customHeight="1" x14ac:dyDescent="0.2">
      <c r="L778" s="21"/>
    </row>
    <row r="779" spans="12:12" ht="15.75" customHeight="1" x14ac:dyDescent="0.2">
      <c r="L779" s="21"/>
    </row>
    <row r="780" spans="12:12" ht="15.75" customHeight="1" x14ac:dyDescent="0.2">
      <c r="L780" s="21"/>
    </row>
    <row r="781" spans="12:12" ht="15.75" customHeight="1" x14ac:dyDescent="0.2">
      <c r="L781" s="21"/>
    </row>
    <row r="782" spans="12:12" ht="15.75" customHeight="1" x14ac:dyDescent="0.2">
      <c r="L782" s="21"/>
    </row>
    <row r="783" spans="12:12" ht="15.75" customHeight="1" x14ac:dyDescent="0.2">
      <c r="L783" s="21"/>
    </row>
    <row r="784" spans="12:12" ht="15.75" customHeight="1" x14ac:dyDescent="0.2">
      <c r="L784" s="21"/>
    </row>
    <row r="785" spans="12:12" ht="15.75" customHeight="1" x14ac:dyDescent="0.2">
      <c r="L785" s="21"/>
    </row>
    <row r="786" spans="12:12" ht="15.75" customHeight="1" x14ac:dyDescent="0.2">
      <c r="L786" s="21"/>
    </row>
    <row r="787" spans="12:12" ht="15.75" customHeight="1" x14ac:dyDescent="0.2">
      <c r="L787" s="21"/>
    </row>
    <row r="788" spans="12:12" ht="15.75" customHeight="1" x14ac:dyDescent="0.2">
      <c r="L788" s="21"/>
    </row>
    <row r="789" spans="12:12" ht="15.75" customHeight="1" x14ac:dyDescent="0.2">
      <c r="L789" s="21"/>
    </row>
    <row r="790" spans="12:12" ht="15.75" customHeight="1" x14ac:dyDescent="0.2">
      <c r="L790" s="21"/>
    </row>
    <row r="791" spans="12:12" ht="15.75" customHeight="1" x14ac:dyDescent="0.2">
      <c r="L791" s="21"/>
    </row>
    <row r="792" spans="12:12" ht="15.75" customHeight="1" x14ac:dyDescent="0.2">
      <c r="L792" s="21"/>
    </row>
    <row r="793" spans="12:12" ht="15.75" customHeight="1" x14ac:dyDescent="0.2">
      <c r="L793" s="21"/>
    </row>
    <row r="794" spans="12:12" ht="15.75" customHeight="1" x14ac:dyDescent="0.2">
      <c r="L794" s="21"/>
    </row>
    <row r="795" spans="12:12" ht="15.75" customHeight="1" x14ac:dyDescent="0.2">
      <c r="L795" s="21"/>
    </row>
    <row r="796" spans="12:12" ht="15.75" customHeight="1" x14ac:dyDescent="0.2">
      <c r="L796" s="21"/>
    </row>
    <row r="797" spans="12:12" ht="15.75" customHeight="1" x14ac:dyDescent="0.2">
      <c r="L797" s="21"/>
    </row>
    <row r="798" spans="12:12" ht="15.75" customHeight="1" x14ac:dyDescent="0.2">
      <c r="L798" s="21"/>
    </row>
    <row r="799" spans="12:12" ht="15.75" customHeight="1" x14ac:dyDescent="0.2">
      <c r="L799" s="21"/>
    </row>
    <row r="800" spans="12:12" ht="15.75" customHeight="1" x14ac:dyDescent="0.2">
      <c r="L800" s="21"/>
    </row>
    <row r="801" spans="12:12" ht="15.75" customHeight="1" x14ac:dyDescent="0.2">
      <c r="L801" s="21"/>
    </row>
    <row r="802" spans="12:12" ht="15.75" customHeight="1" x14ac:dyDescent="0.2">
      <c r="L802" s="21"/>
    </row>
    <row r="803" spans="12:12" ht="15.75" customHeight="1" x14ac:dyDescent="0.2">
      <c r="L803" s="21"/>
    </row>
    <row r="804" spans="12:12" ht="15.75" customHeight="1" x14ac:dyDescent="0.2">
      <c r="L804" s="21"/>
    </row>
    <row r="805" spans="12:12" ht="15.75" customHeight="1" x14ac:dyDescent="0.2">
      <c r="L805" s="21"/>
    </row>
    <row r="806" spans="12:12" ht="15.75" customHeight="1" x14ac:dyDescent="0.2">
      <c r="L806" s="21"/>
    </row>
    <row r="807" spans="12:12" ht="15.75" customHeight="1" x14ac:dyDescent="0.2">
      <c r="L807" s="21"/>
    </row>
    <row r="808" spans="12:12" ht="15.75" customHeight="1" x14ac:dyDescent="0.2">
      <c r="L808" s="21"/>
    </row>
    <row r="809" spans="12:12" ht="15.75" customHeight="1" x14ac:dyDescent="0.2">
      <c r="L809" s="21"/>
    </row>
    <row r="810" spans="12:12" ht="15.75" customHeight="1" x14ac:dyDescent="0.2">
      <c r="L810" s="21"/>
    </row>
    <row r="811" spans="12:12" ht="15.75" customHeight="1" x14ac:dyDescent="0.2">
      <c r="L811" s="21"/>
    </row>
    <row r="812" spans="12:12" ht="15.75" customHeight="1" x14ac:dyDescent="0.2">
      <c r="L812" s="21"/>
    </row>
    <row r="813" spans="12:12" ht="15.75" customHeight="1" x14ac:dyDescent="0.2">
      <c r="L813" s="21"/>
    </row>
    <row r="814" spans="12:12" ht="15.75" customHeight="1" x14ac:dyDescent="0.2">
      <c r="L814" s="21"/>
    </row>
    <row r="815" spans="12:12" ht="15.75" customHeight="1" x14ac:dyDescent="0.2">
      <c r="L815" s="21"/>
    </row>
    <row r="816" spans="12:12" ht="15.75" customHeight="1" x14ac:dyDescent="0.2">
      <c r="L816" s="21"/>
    </row>
    <row r="817" spans="12:12" ht="15.75" customHeight="1" x14ac:dyDescent="0.2">
      <c r="L817" s="21"/>
    </row>
    <row r="818" spans="12:12" ht="15.75" customHeight="1" x14ac:dyDescent="0.2">
      <c r="L818" s="21"/>
    </row>
    <row r="819" spans="12:12" ht="15.75" customHeight="1" x14ac:dyDescent="0.2">
      <c r="L819" s="21"/>
    </row>
    <row r="820" spans="12:12" ht="15.75" customHeight="1" x14ac:dyDescent="0.2">
      <c r="L820" s="21"/>
    </row>
    <row r="821" spans="12:12" ht="15.75" customHeight="1" x14ac:dyDescent="0.2">
      <c r="L821" s="21"/>
    </row>
    <row r="822" spans="12:12" ht="15.75" customHeight="1" x14ac:dyDescent="0.2">
      <c r="L822" s="21"/>
    </row>
    <row r="823" spans="12:12" ht="15.75" customHeight="1" x14ac:dyDescent="0.2">
      <c r="L823" s="21"/>
    </row>
    <row r="824" spans="12:12" ht="15.75" customHeight="1" x14ac:dyDescent="0.2">
      <c r="L824" s="21"/>
    </row>
    <row r="825" spans="12:12" ht="15.75" customHeight="1" x14ac:dyDescent="0.2">
      <c r="L825" s="21"/>
    </row>
    <row r="826" spans="12:12" ht="15.75" customHeight="1" x14ac:dyDescent="0.2">
      <c r="L826" s="21"/>
    </row>
    <row r="827" spans="12:12" ht="15.75" customHeight="1" x14ac:dyDescent="0.2">
      <c r="L827" s="21"/>
    </row>
    <row r="828" spans="12:12" ht="15.75" customHeight="1" x14ac:dyDescent="0.2">
      <c r="L828" s="21"/>
    </row>
    <row r="829" spans="12:12" ht="15.75" customHeight="1" x14ac:dyDescent="0.2">
      <c r="L829" s="21"/>
    </row>
    <row r="830" spans="12:12" ht="15.75" customHeight="1" x14ac:dyDescent="0.2">
      <c r="L830" s="21"/>
    </row>
    <row r="831" spans="12:12" ht="15.75" customHeight="1" x14ac:dyDescent="0.2">
      <c r="L831" s="21"/>
    </row>
    <row r="832" spans="12:12" ht="15.75" customHeight="1" x14ac:dyDescent="0.2">
      <c r="L832" s="21"/>
    </row>
    <row r="833" spans="12:12" ht="15.75" customHeight="1" x14ac:dyDescent="0.2">
      <c r="L833" s="21"/>
    </row>
    <row r="834" spans="12:12" ht="15.75" customHeight="1" x14ac:dyDescent="0.2">
      <c r="L834" s="21"/>
    </row>
    <row r="835" spans="12:12" ht="15.75" customHeight="1" x14ac:dyDescent="0.2">
      <c r="L835" s="21"/>
    </row>
    <row r="836" spans="12:12" ht="15.75" customHeight="1" x14ac:dyDescent="0.2">
      <c r="L836" s="21"/>
    </row>
    <row r="837" spans="12:12" ht="15.75" customHeight="1" x14ac:dyDescent="0.2">
      <c r="L837" s="21"/>
    </row>
    <row r="838" spans="12:12" ht="15.75" customHeight="1" x14ac:dyDescent="0.2">
      <c r="L838" s="21"/>
    </row>
    <row r="839" spans="12:12" ht="15.75" customHeight="1" x14ac:dyDescent="0.2">
      <c r="L839" s="21"/>
    </row>
    <row r="840" spans="12:12" ht="15.75" customHeight="1" x14ac:dyDescent="0.2">
      <c r="L840" s="21"/>
    </row>
    <row r="841" spans="12:12" ht="15.75" customHeight="1" x14ac:dyDescent="0.2">
      <c r="L841" s="21"/>
    </row>
    <row r="842" spans="12:12" ht="15.75" customHeight="1" x14ac:dyDescent="0.2">
      <c r="L842" s="21"/>
    </row>
    <row r="843" spans="12:12" ht="15.75" customHeight="1" x14ac:dyDescent="0.2">
      <c r="L843" s="21"/>
    </row>
    <row r="844" spans="12:12" ht="15.75" customHeight="1" x14ac:dyDescent="0.2">
      <c r="L844" s="21"/>
    </row>
    <row r="845" spans="12:12" ht="15.75" customHeight="1" x14ac:dyDescent="0.2">
      <c r="L845" s="21"/>
    </row>
    <row r="846" spans="12:12" ht="15.75" customHeight="1" x14ac:dyDescent="0.2">
      <c r="L846" s="21"/>
    </row>
    <row r="847" spans="12:12" ht="15.75" customHeight="1" x14ac:dyDescent="0.2">
      <c r="L847" s="21"/>
    </row>
    <row r="848" spans="12:12" ht="15.75" customHeight="1" x14ac:dyDescent="0.2">
      <c r="L848" s="21"/>
    </row>
    <row r="849" spans="12:12" ht="15.75" customHeight="1" x14ac:dyDescent="0.2">
      <c r="L849" s="21"/>
    </row>
    <row r="850" spans="12:12" ht="15.75" customHeight="1" x14ac:dyDescent="0.2">
      <c r="L850" s="21"/>
    </row>
    <row r="851" spans="12:12" ht="15.75" customHeight="1" x14ac:dyDescent="0.2">
      <c r="L851" s="21"/>
    </row>
    <row r="852" spans="12:12" ht="15.75" customHeight="1" x14ac:dyDescent="0.2">
      <c r="L852" s="21"/>
    </row>
    <row r="853" spans="12:12" ht="15.75" customHeight="1" x14ac:dyDescent="0.2">
      <c r="L853" s="21"/>
    </row>
    <row r="854" spans="12:12" ht="15.75" customHeight="1" x14ac:dyDescent="0.2">
      <c r="L854" s="21"/>
    </row>
    <row r="855" spans="12:12" ht="15.75" customHeight="1" x14ac:dyDescent="0.2">
      <c r="L855" s="21"/>
    </row>
    <row r="856" spans="12:12" ht="15.75" customHeight="1" x14ac:dyDescent="0.2">
      <c r="L856" s="21"/>
    </row>
    <row r="857" spans="12:12" ht="15.75" customHeight="1" x14ac:dyDescent="0.2">
      <c r="L857" s="21"/>
    </row>
    <row r="858" spans="12:12" ht="15.75" customHeight="1" x14ac:dyDescent="0.2">
      <c r="L858" s="21"/>
    </row>
    <row r="859" spans="12:12" ht="15.75" customHeight="1" x14ac:dyDescent="0.2">
      <c r="L859" s="21"/>
    </row>
    <row r="860" spans="12:12" ht="15.75" customHeight="1" x14ac:dyDescent="0.2">
      <c r="L860" s="21"/>
    </row>
    <row r="861" spans="12:12" ht="15.75" customHeight="1" x14ac:dyDescent="0.2">
      <c r="L861" s="21"/>
    </row>
    <row r="862" spans="12:12" ht="15.75" customHeight="1" x14ac:dyDescent="0.2">
      <c r="L862" s="21"/>
    </row>
    <row r="863" spans="12:12" ht="15.75" customHeight="1" x14ac:dyDescent="0.2">
      <c r="L863" s="21"/>
    </row>
    <row r="864" spans="12:12" ht="15.75" customHeight="1" x14ac:dyDescent="0.2">
      <c r="L864" s="21"/>
    </row>
    <row r="865" spans="12:12" ht="15.75" customHeight="1" x14ac:dyDescent="0.2">
      <c r="L865" s="21"/>
    </row>
    <row r="866" spans="12:12" ht="15.75" customHeight="1" x14ac:dyDescent="0.2">
      <c r="L866" s="21"/>
    </row>
    <row r="867" spans="12:12" ht="15.75" customHeight="1" x14ac:dyDescent="0.2">
      <c r="L867" s="21"/>
    </row>
    <row r="868" spans="12:12" ht="15.75" customHeight="1" x14ac:dyDescent="0.2">
      <c r="L868" s="21"/>
    </row>
    <row r="869" spans="12:12" ht="15.75" customHeight="1" x14ac:dyDescent="0.2">
      <c r="L869" s="21"/>
    </row>
    <row r="870" spans="12:12" ht="15.75" customHeight="1" x14ac:dyDescent="0.2">
      <c r="L870" s="21"/>
    </row>
    <row r="871" spans="12:12" ht="15.75" customHeight="1" x14ac:dyDescent="0.2">
      <c r="L871" s="21"/>
    </row>
    <row r="872" spans="12:12" ht="15.75" customHeight="1" x14ac:dyDescent="0.2">
      <c r="L872" s="21"/>
    </row>
    <row r="873" spans="12:12" ht="15.75" customHeight="1" x14ac:dyDescent="0.2">
      <c r="L873" s="21"/>
    </row>
    <row r="874" spans="12:12" ht="15.75" customHeight="1" x14ac:dyDescent="0.2">
      <c r="L874" s="21"/>
    </row>
    <row r="875" spans="12:12" ht="15.75" customHeight="1" x14ac:dyDescent="0.2">
      <c r="L875" s="21"/>
    </row>
    <row r="876" spans="12:12" ht="15.75" customHeight="1" x14ac:dyDescent="0.2">
      <c r="L876" s="21"/>
    </row>
    <row r="877" spans="12:12" ht="15.75" customHeight="1" x14ac:dyDescent="0.2">
      <c r="L877" s="21"/>
    </row>
    <row r="878" spans="12:12" ht="15.75" customHeight="1" x14ac:dyDescent="0.2">
      <c r="L878" s="21"/>
    </row>
    <row r="879" spans="12:12" ht="15.75" customHeight="1" x14ac:dyDescent="0.2">
      <c r="L879" s="21"/>
    </row>
    <row r="880" spans="12:12" ht="15.75" customHeight="1" x14ac:dyDescent="0.2">
      <c r="L880" s="21"/>
    </row>
    <row r="881" spans="12:12" ht="15.75" customHeight="1" x14ac:dyDescent="0.2">
      <c r="L881" s="21"/>
    </row>
    <row r="882" spans="12:12" ht="15.75" customHeight="1" x14ac:dyDescent="0.2">
      <c r="L882" s="21"/>
    </row>
    <row r="883" spans="12:12" ht="15.75" customHeight="1" x14ac:dyDescent="0.2">
      <c r="L883" s="21"/>
    </row>
    <row r="884" spans="12:12" ht="15.75" customHeight="1" x14ac:dyDescent="0.2">
      <c r="L884" s="21"/>
    </row>
    <row r="885" spans="12:12" ht="15.75" customHeight="1" x14ac:dyDescent="0.2">
      <c r="L885" s="21"/>
    </row>
    <row r="886" spans="12:12" ht="15.75" customHeight="1" x14ac:dyDescent="0.2">
      <c r="L886" s="21"/>
    </row>
    <row r="887" spans="12:12" ht="15.75" customHeight="1" x14ac:dyDescent="0.2">
      <c r="L887" s="21"/>
    </row>
    <row r="888" spans="12:12" ht="15.75" customHeight="1" x14ac:dyDescent="0.2">
      <c r="L888" s="21"/>
    </row>
    <row r="889" spans="12:12" ht="15.75" customHeight="1" x14ac:dyDescent="0.2">
      <c r="L889" s="21"/>
    </row>
    <row r="890" spans="12:12" ht="15.75" customHeight="1" x14ac:dyDescent="0.2">
      <c r="L890" s="21"/>
    </row>
    <row r="891" spans="12:12" ht="15.75" customHeight="1" x14ac:dyDescent="0.2">
      <c r="L891" s="21"/>
    </row>
    <row r="892" spans="12:12" ht="15.75" customHeight="1" x14ac:dyDescent="0.2">
      <c r="L892" s="21"/>
    </row>
    <row r="893" spans="12:12" ht="15.75" customHeight="1" x14ac:dyDescent="0.2">
      <c r="L893" s="21"/>
    </row>
    <row r="894" spans="12:12" ht="15.75" customHeight="1" x14ac:dyDescent="0.2">
      <c r="L894" s="21"/>
    </row>
    <row r="895" spans="12:12" ht="15.75" customHeight="1" x14ac:dyDescent="0.2">
      <c r="L895" s="21"/>
    </row>
    <row r="896" spans="12:12" ht="15.75" customHeight="1" x14ac:dyDescent="0.2">
      <c r="L896" s="21"/>
    </row>
    <row r="897" spans="12:12" ht="15.75" customHeight="1" x14ac:dyDescent="0.2">
      <c r="L897" s="21"/>
    </row>
    <row r="898" spans="12:12" ht="15.75" customHeight="1" x14ac:dyDescent="0.2">
      <c r="L898" s="21"/>
    </row>
    <row r="899" spans="12:12" ht="15.75" customHeight="1" x14ac:dyDescent="0.2">
      <c r="L899" s="21"/>
    </row>
    <row r="900" spans="12:12" ht="15.75" customHeight="1" x14ac:dyDescent="0.2">
      <c r="L900" s="21"/>
    </row>
    <row r="901" spans="12:12" ht="15.75" customHeight="1" x14ac:dyDescent="0.2">
      <c r="L901" s="21"/>
    </row>
    <row r="902" spans="12:12" ht="15.75" customHeight="1" x14ac:dyDescent="0.2">
      <c r="L902" s="21"/>
    </row>
    <row r="903" spans="12:12" ht="15.75" customHeight="1" x14ac:dyDescent="0.2">
      <c r="L903" s="21"/>
    </row>
    <row r="904" spans="12:12" ht="15.75" customHeight="1" x14ac:dyDescent="0.2">
      <c r="L904" s="21"/>
    </row>
    <row r="905" spans="12:12" ht="15.75" customHeight="1" x14ac:dyDescent="0.2">
      <c r="L905" s="21"/>
    </row>
    <row r="906" spans="12:12" ht="15.75" customHeight="1" x14ac:dyDescent="0.2">
      <c r="L906" s="21"/>
    </row>
    <row r="907" spans="12:12" ht="15.75" customHeight="1" x14ac:dyDescent="0.2">
      <c r="L907" s="21"/>
    </row>
    <row r="908" spans="12:12" ht="15.75" customHeight="1" x14ac:dyDescent="0.2">
      <c r="L908" s="21"/>
    </row>
    <row r="909" spans="12:12" ht="15.75" customHeight="1" x14ac:dyDescent="0.2">
      <c r="L909" s="21"/>
    </row>
    <row r="910" spans="12:12" ht="15.75" customHeight="1" x14ac:dyDescent="0.2">
      <c r="L910" s="21"/>
    </row>
    <row r="911" spans="12:12" ht="15.75" customHeight="1" x14ac:dyDescent="0.2">
      <c r="L911" s="21"/>
    </row>
    <row r="912" spans="12:12" ht="15.75" customHeight="1" x14ac:dyDescent="0.2">
      <c r="L912" s="21"/>
    </row>
    <row r="913" spans="12:12" ht="15.75" customHeight="1" x14ac:dyDescent="0.2">
      <c r="L913" s="21"/>
    </row>
    <row r="914" spans="12:12" ht="15.75" customHeight="1" x14ac:dyDescent="0.2">
      <c r="L914" s="21"/>
    </row>
    <row r="915" spans="12:12" ht="15.75" customHeight="1" x14ac:dyDescent="0.2">
      <c r="L915" s="21"/>
    </row>
    <row r="916" spans="12:12" ht="15.75" customHeight="1" x14ac:dyDescent="0.2">
      <c r="L916" s="21"/>
    </row>
    <row r="917" spans="12:12" ht="15.75" customHeight="1" x14ac:dyDescent="0.2">
      <c r="L917" s="21"/>
    </row>
    <row r="918" spans="12:12" ht="15.75" customHeight="1" x14ac:dyDescent="0.2">
      <c r="L918" s="21"/>
    </row>
    <row r="919" spans="12:12" ht="15.75" customHeight="1" x14ac:dyDescent="0.2">
      <c r="L919" s="21"/>
    </row>
    <row r="920" spans="12:12" ht="15.75" customHeight="1" x14ac:dyDescent="0.2">
      <c r="L920" s="21"/>
    </row>
    <row r="921" spans="12:12" ht="15.75" customHeight="1" x14ac:dyDescent="0.2">
      <c r="L921" s="21"/>
    </row>
    <row r="922" spans="12:12" ht="15.75" customHeight="1" x14ac:dyDescent="0.2">
      <c r="L922" s="21"/>
    </row>
    <row r="923" spans="12:12" ht="15.75" customHeight="1" x14ac:dyDescent="0.2">
      <c r="L923" s="21"/>
    </row>
    <row r="924" spans="12:12" ht="15.75" customHeight="1" x14ac:dyDescent="0.2">
      <c r="L924" s="21"/>
    </row>
    <row r="925" spans="12:12" ht="15.75" customHeight="1" x14ac:dyDescent="0.2">
      <c r="L925" s="21"/>
    </row>
    <row r="926" spans="12:12" ht="15.75" customHeight="1" x14ac:dyDescent="0.2">
      <c r="L926" s="21"/>
    </row>
    <row r="927" spans="12:12" ht="15.75" customHeight="1" x14ac:dyDescent="0.2">
      <c r="L927" s="21"/>
    </row>
    <row r="928" spans="12:12" ht="15.75" customHeight="1" x14ac:dyDescent="0.2">
      <c r="L928" s="21"/>
    </row>
    <row r="929" spans="12:12" ht="15.75" customHeight="1" x14ac:dyDescent="0.2">
      <c r="L929" s="21"/>
    </row>
    <row r="930" spans="12:12" ht="15.75" customHeight="1" x14ac:dyDescent="0.2">
      <c r="L930" s="21"/>
    </row>
    <row r="931" spans="12:12" ht="15.75" customHeight="1" x14ac:dyDescent="0.2">
      <c r="L931" s="21"/>
    </row>
    <row r="932" spans="12:12" ht="15.75" customHeight="1" x14ac:dyDescent="0.2">
      <c r="L932" s="21"/>
    </row>
    <row r="933" spans="12:12" ht="15.75" customHeight="1" x14ac:dyDescent="0.2">
      <c r="L933" s="21"/>
    </row>
    <row r="934" spans="12:12" ht="15.75" customHeight="1" x14ac:dyDescent="0.2">
      <c r="L934" s="21"/>
    </row>
    <row r="935" spans="12:12" ht="15.75" customHeight="1" x14ac:dyDescent="0.2">
      <c r="L935" s="21"/>
    </row>
    <row r="936" spans="12:12" ht="15.75" customHeight="1" x14ac:dyDescent="0.2">
      <c r="L936" s="21"/>
    </row>
    <row r="937" spans="12:12" ht="15.75" customHeight="1" x14ac:dyDescent="0.2">
      <c r="L937" s="21"/>
    </row>
    <row r="938" spans="12:12" ht="15.75" customHeight="1" x14ac:dyDescent="0.2">
      <c r="L938" s="21"/>
    </row>
    <row r="939" spans="12:12" ht="15.75" customHeight="1" x14ac:dyDescent="0.2">
      <c r="L939" s="21"/>
    </row>
    <row r="940" spans="12:12" ht="15.75" customHeight="1" x14ac:dyDescent="0.2">
      <c r="L940" s="21"/>
    </row>
    <row r="941" spans="12:12" ht="15.75" customHeight="1" x14ac:dyDescent="0.2">
      <c r="L941" s="21"/>
    </row>
    <row r="942" spans="12:12" ht="15.75" customHeight="1" x14ac:dyDescent="0.2">
      <c r="L942" s="21"/>
    </row>
    <row r="943" spans="12:12" ht="15.75" customHeight="1" x14ac:dyDescent="0.2">
      <c r="L943" s="21"/>
    </row>
    <row r="944" spans="12:12" ht="15.75" customHeight="1" x14ac:dyDescent="0.2">
      <c r="L944" s="21"/>
    </row>
    <row r="945" spans="12:12" ht="15.75" customHeight="1" x14ac:dyDescent="0.2">
      <c r="L945" s="21"/>
    </row>
    <row r="946" spans="12:12" ht="15.75" customHeight="1" x14ac:dyDescent="0.2">
      <c r="L946" s="21"/>
    </row>
    <row r="947" spans="12:12" ht="15.75" customHeight="1" x14ac:dyDescent="0.2">
      <c r="L947" s="21"/>
    </row>
    <row r="948" spans="12:12" ht="15.75" customHeight="1" x14ac:dyDescent="0.2">
      <c r="L948" s="21"/>
    </row>
    <row r="949" spans="12:12" ht="15.75" customHeight="1" x14ac:dyDescent="0.2">
      <c r="L949" s="21"/>
    </row>
    <row r="950" spans="12:12" ht="15.75" customHeight="1" x14ac:dyDescent="0.2">
      <c r="L950" s="21"/>
    </row>
    <row r="951" spans="12:12" ht="15.75" customHeight="1" x14ac:dyDescent="0.2">
      <c r="L951" s="21"/>
    </row>
    <row r="952" spans="12:12" ht="15.75" customHeight="1" x14ac:dyDescent="0.2">
      <c r="L952" s="21"/>
    </row>
    <row r="953" spans="12:12" ht="15.75" customHeight="1" x14ac:dyDescent="0.2">
      <c r="L953" s="21"/>
    </row>
    <row r="954" spans="12:12" ht="15.75" customHeight="1" x14ac:dyDescent="0.2">
      <c r="L954" s="21"/>
    </row>
    <row r="955" spans="12:12" ht="15.75" customHeight="1" x14ac:dyDescent="0.2">
      <c r="L955" s="21"/>
    </row>
    <row r="956" spans="12:12" ht="15.75" customHeight="1" x14ac:dyDescent="0.2">
      <c r="L956" s="21"/>
    </row>
    <row r="957" spans="12:12" ht="15.75" customHeight="1" x14ac:dyDescent="0.2">
      <c r="L957" s="21"/>
    </row>
    <row r="958" spans="12:12" ht="15.75" customHeight="1" x14ac:dyDescent="0.2">
      <c r="L958" s="21"/>
    </row>
    <row r="959" spans="12:12" ht="15.75" customHeight="1" x14ac:dyDescent="0.2">
      <c r="L959" s="21"/>
    </row>
    <row r="960" spans="12:12" ht="15.75" customHeight="1" x14ac:dyDescent="0.2">
      <c r="L960" s="21"/>
    </row>
    <row r="961" spans="12:12" ht="15.75" customHeight="1" x14ac:dyDescent="0.2">
      <c r="L961" s="21"/>
    </row>
    <row r="962" spans="12:12" ht="15.75" customHeight="1" x14ac:dyDescent="0.2">
      <c r="L962" s="21"/>
    </row>
    <row r="963" spans="12:12" ht="15.75" customHeight="1" x14ac:dyDescent="0.2">
      <c r="L963" s="21"/>
    </row>
    <row r="964" spans="12:12" ht="15.75" customHeight="1" x14ac:dyDescent="0.2">
      <c r="L964" s="21"/>
    </row>
    <row r="965" spans="12:12" ht="15.75" customHeight="1" x14ac:dyDescent="0.2">
      <c r="L965" s="21"/>
    </row>
    <row r="966" spans="12:12" ht="15.75" customHeight="1" x14ac:dyDescent="0.2">
      <c r="L966" s="21"/>
    </row>
    <row r="967" spans="12:12" ht="15.75" customHeight="1" x14ac:dyDescent="0.2">
      <c r="L967" s="21"/>
    </row>
    <row r="968" spans="12:12" ht="15.75" customHeight="1" x14ac:dyDescent="0.2">
      <c r="L968" s="21"/>
    </row>
    <row r="969" spans="12:12" ht="15.75" customHeight="1" x14ac:dyDescent="0.2">
      <c r="L969" s="21"/>
    </row>
    <row r="970" spans="12:12" ht="15.75" customHeight="1" x14ac:dyDescent="0.2">
      <c r="L970" s="21"/>
    </row>
    <row r="971" spans="12:12" ht="15.75" customHeight="1" x14ac:dyDescent="0.2">
      <c r="L971" s="21"/>
    </row>
    <row r="972" spans="12:12" ht="15.75" customHeight="1" x14ac:dyDescent="0.2">
      <c r="L972" s="21"/>
    </row>
    <row r="973" spans="12:12" ht="15.75" customHeight="1" x14ac:dyDescent="0.2">
      <c r="L973" s="21"/>
    </row>
    <row r="974" spans="12:12" ht="15.75" customHeight="1" x14ac:dyDescent="0.2">
      <c r="L974" s="21"/>
    </row>
    <row r="975" spans="12:12" ht="15.75" customHeight="1" x14ac:dyDescent="0.2">
      <c r="L975" s="21"/>
    </row>
    <row r="976" spans="12:12" ht="15.75" customHeight="1" x14ac:dyDescent="0.2">
      <c r="L976" s="21"/>
    </row>
    <row r="977" spans="12:12" ht="15.75" customHeight="1" x14ac:dyDescent="0.2">
      <c r="L977" s="21"/>
    </row>
    <row r="978" spans="12:12" ht="15.75" customHeight="1" x14ac:dyDescent="0.2">
      <c r="L978" s="21"/>
    </row>
    <row r="979" spans="12:12" ht="15.75" customHeight="1" x14ac:dyDescent="0.2">
      <c r="L979" s="21"/>
    </row>
    <row r="980" spans="12:12" ht="15.75" customHeight="1" x14ac:dyDescent="0.2">
      <c r="L980" s="21"/>
    </row>
    <row r="981" spans="12:12" ht="15.75" customHeight="1" x14ac:dyDescent="0.2">
      <c r="L981" s="21"/>
    </row>
    <row r="982" spans="12:12" ht="15.75" customHeight="1" x14ac:dyDescent="0.2">
      <c r="L982" s="21"/>
    </row>
    <row r="983" spans="12:12" ht="15.75" customHeight="1" x14ac:dyDescent="0.2">
      <c r="L983" s="21"/>
    </row>
    <row r="984" spans="12:12" ht="15.75" customHeight="1" x14ac:dyDescent="0.2">
      <c r="L984" s="21"/>
    </row>
    <row r="985" spans="12:12" ht="15.75" customHeight="1" x14ac:dyDescent="0.2">
      <c r="L985" s="21"/>
    </row>
    <row r="986" spans="12:12" ht="15.75" customHeight="1" x14ac:dyDescent="0.2">
      <c r="L986" s="21"/>
    </row>
    <row r="987" spans="12:12" ht="15.75" customHeight="1" x14ac:dyDescent="0.2">
      <c r="L987" s="21"/>
    </row>
    <row r="988" spans="12:12" ht="15.75" customHeight="1" x14ac:dyDescent="0.2">
      <c r="L988" s="21"/>
    </row>
    <row r="989" spans="12:12" ht="15.75" customHeight="1" x14ac:dyDescent="0.2">
      <c r="L989" s="21"/>
    </row>
    <row r="990" spans="12:12" ht="15.75" customHeight="1" x14ac:dyDescent="0.2">
      <c r="L990" s="21"/>
    </row>
    <row r="991" spans="12:12" ht="15.75" customHeight="1" x14ac:dyDescent="0.2">
      <c r="L991" s="21"/>
    </row>
    <row r="992" spans="12:12" ht="15.75" customHeight="1" x14ac:dyDescent="0.2">
      <c r="L992" s="21"/>
    </row>
    <row r="993" spans="12:12" ht="15.75" customHeight="1" x14ac:dyDescent="0.2">
      <c r="L993" s="21"/>
    </row>
    <row r="994" spans="12:12" ht="15.75" customHeight="1" x14ac:dyDescent="0.2">
      <c r="L994" s="21"/>
    </row>
    <row r="995" spans="12:12" ht="15.75" customHeight="1" x14ac:dyDescent="0.2">
      <c r="L995" s="21"/>
    </row>
    <row r="996" spans="12:12" ht="15.75" customHeight="1" x14ac:dyDescent="0.2">
      <c r="L996" s="21"/>
    </row>
    <row r="997" spans="12:12" ht="15.75" customHeight="1" x14ac:dyDescent="0.2">
      <c r="L997" s="21"/>
    </row>
    <row r="998" spans="12:12" ht="15.75" customHeight="1" x14ac:dyDescent="0.2">
      <c r="L998" s="21"/>
    </row>
    <row r="999" spans="12:12" ht="15.75" customHeight="1" x14ac:dyDescent="0.2">
      <c r="L999" s="21"/>
    </row>
    <row r="1000" spans="12:12" ht="15.75" customHeight="1" x14ac:dyDescent="0.2">
      <c r="L1000" s="21"/>
    </row>
  </sheetData>
  <mergeCells count="7">
    <mergeCell ref="A15:K15"/>
    <mergeCell ref="E2:I2"/>
    <mergeCell ref="A13:K13"/>
    <mergeCell ref="B10:B11"/>
    <mergeCell ref="F10:F11"/>
    <mergeCell ref="A5:K5"/>
    <mergeCell ref="G10:G11"/>
  </mergeCells>
  <hyperlinks>
    <hyperlink ref="D8" r:id="rId1" location="polycard_client=recommendations_pdp-v2p&amp;reco_backend=ranker_retrieval_system_org&amp;reco_model=coldstart_high_exposition&amp;reco_client=pdp-v2p&amp;reco_item_pos=1&amp;reco_backend_type=low_level&amp;reco_id=a71a75c0-be90-45f3-8b66-840cf80ce175&amp;wid=MCO2809988642&amp;sid=recos" xr:uid="{00000000-0004-0000-0500-000000000000}"/>
    <hyperlink ref="D9" r:id="rId2" xr:uid="{00000000-0004-0000-0500-000001000000}"/>
    <hyperlink ref="D10" r:id="rId3" location="polycard_client=search-desktop&amp;be_origin=backend&amp;overlay_label=not_apply&amp;search_layout=grid&amp;position=2&amp;type=product&amp;tracking_id=38c5c3d6-c64c-4ea2-9f66-634894707442&amp;wid=MCO1801969580&amp;sid=search"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9" workbookViewId="0"/>
  </sheetViews>
  <sheetFormatPr baseColWidth="10" defaultColWidth="12.5703125" defaultRowHeight="15" customHeight="1" x14ac:dyDescent="0.2"/>
  <cols>
    <col min="1" max="2" width="19.140625" style="71" customWidth="1"/>
    <col min="3" max="3" width="26.7109375" style="71" customWidth="1"/>
    <col min="4" max="4" width="34.42578125" style="71" customWidth="1"/>
    <col min="5" max="5" width="21.85546875" style="71" customWidth="1"/>
    <col min="6" max="7" width="17" style="71" customWidth="1"/>
    <col min="8" max="8" width="18" style="71" customWidth="1"/>
    <col min="9" max="9" width="17" style="71" customWidth="1"/>
    <col min="10" max="10" width="19.140625" style="71" customWidth="1"/>
    <col min="11" max="11" width="27.85546875" style="71" customWidth="1"/>
    <col min="12" max="12" width="27" style="71" customWidth="1"/>
    <col min="13" max="26" width="10" style="71" customWidth="1"/>
  </cols>
  <sheetData>
    <row r="1" spans="1:26" ht="12.75" customHeight="1" x14ac:dyDescent="0.2"/>
    <row r="2" spans="1:26" ht="27.75" customHeight="1" x14ac:dyDescent="0.2">
      <c r="E2" s="175" t="s">
        <v>154</v>
      </c>
      <c r="F2" s="176"/>
      <c r="G2" s="176"/>
      <c r="H2" s="176"/>
      <c r="I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2"/>
      <c r="K5" s="173"/>
    </row>
    <row r="6" spans="1:26" ht="15.75" customHeight="1" x14ac:dyDescent="0.2"/>
    <row r="7" spans="1:26" ht="75.75" customHeight="1" x14ac:dyDescent="0.2">
      <c r="A7" s="73" t="s">
        <v>156</v>
      </c>
      <c r="B7" s="100" t="s">
        <v>157</v>
      </c>
      <c r="C7" s="101" t="s">
        <v>200</v>
      </c>
      <c r="D7" s="101" t="s">
        <v>159</v>
      </c>
      <c r="E7" s="101" t="s">
        <v>160</v>
      </c>
      <c r="F7" s="101" t="s">
        <v>161</v>
      </c>
      <c r="G7" s="102" t="s">
        <v>162</v>
      </c>
      <c r="H7" s="115" t="s">
        <v>163</v>
      </c>
      <c r="I7" s="101" t="s">
        <v>164</v>
      </c>
      <c r="J7" s="101" t="s">
        <v>165</v>
      </c>
      <c r="K7" s="101" t="s">
        <v>166</v>
      </c>
      <c r="L7" s="103" t="s">
        <v>167</v>
      </c>
      <c r="M7" s="12"/>
      <c r="N7" s="12"/>
      <c r="O7" s="12"/>
      <c r="P7" s="12"/>
      <c r="Q7" s="12"/>
      <c r="R7" s="12"/>
      <c r="S7" s="12"/>
      <c r="T7" s="12"/>
      <c r="U7" s="12"/>
      <c r="V7" s="12"/>
      <c r="W7" s="12"/>
      <c r="X7" s="12"/>
      <c r="Y7" s="12"/>
      <c r="Z7" s="12"/>
    </row>
    <row r="8" spans="1:26" ht="141" customHeight="1" x14ac:dyDescent="0.2">
      <c r="A8" s="116" t="s">
        <v>168</v>
      </c>
      <c r="B8" s="104" t="s">
        <v>85</v>
      </c>
      <c r="C8" s="25"/>
      <c r="D8" s="117" t="s">
        <v>209</v>
      </c>
      <c r="E8" s="118" t="s">
        <v>210</v>
      </c>
      <c r="F8" s="107">
        <v>950000</v>
      </c>
      <c r="G8" s="107">
        <v>950000</v>
      </c>
      <c r="H8" s="108">
        <f>F8/3900</f>
        <v>243.58974358974359</v>
      </c>
      <c r="I8" s="109">
        <f>H8*3900</f>
        <v>950000</v>
      </c>
      <c r="J8" s="110" t="s">
        <v>171</v>
      </c>
      <c r="K8" s="111" t="s">
        <v>211</v>
      </c>
      <c r="L8" s="112" t="s">
        <v>212</v>
      </c>
    </row>
    <row r="9" spans="1:26" ht="122.25" customHeight="1" x14ac:dyDescent="0.2">
      <c r="A9" s="116" t="s">
        <v>174</v>
      </c>
      <c r="B9" s="113" t="s">
        <v>213</v>
      </c>
      <c r="C9" s="25"/>
      <c r="D9" s="117" t="s">
        <v>214</v>
      </c>
      <c r="E9" s="111" t="s">
        <v>215</v>
      </c>
      <c r="F9" s="119">
        <v>2737000</v>
      </c>
      <c r="G9" s="107">
        <v>2737000</v>
      </c>
      <c r="H9" s="108">
        <f>F9/3900</f>
        <v>701.79487179487182</v>
      </c>
      <c r="I9" s="109">
        <f>H9*3900</f>
        <v>2737000</v>
      </c>
      <c r="J9" s="110" t="s">
        <v>171</v>
      </c>
      <c r="K9" s="111" t="s">
        <v>216</v>
      </c>
      <c r="L9" s="112" t="s">
        <v>217</v>
      </c>
    </row>
    <row r="10" spans="1:26" ht="139.5" customHeight="1" x14ac:dyDescent="0.2">
      <c r="A10" s="116" t="s">
        <v>179</v>
      </c>
      <c r="B10" s="104" t="s">
        <v>218</v>
      </c>
      <c r="C10" s="25"/>
      <c r="D10" s="117" t="s">
        <v>187</v>
      </c>
      <c r="E10" s="120" t="s">
        <v>219</v>
      </c>
      <c r="F10" s="119">
        <v>3404348</v>
      </c>
      <c r="G10" s="107">
        <v>3404348</v>
      </c>
      <c r="H10" s="108">
        <f>F10/3900</f>
        <v>872.90974358974358</v>
      </c>
      <c r="I10" s="109">
        <f>H10*3900</f>
        <v>3404348</v>
      </c>
      <c r="J10" s="110" t="s">
        <v>171</v>
      </c>
      <c r="K10" s="118" t="s">
        <v>220</v>
      </c>
      <c r="L10" s="112" t="s">
        <v>195</v>
      </c>
    </row>
    <row r="11" spans="1:26" hidden="1" x14ac:dyDescent="0.2">
      <c r="A11" s="17"/>
      <c r="B11" s="29"/>
      <c r="C11" s="29"/>
      <c r="D11" s="29"/>
      <c r="E11" s="29"/>
      <c r="F11" s="29"/>
      <c r="G11" s="29"/>
      <c r="H11" s="29"/>
      <c r="I11" s="29"/>
      <c r="J11" s="29"/>
      <c r="K11" s="29"/>
    </row>
    <row r="12" spans="1:26" ht="12.75" customHeight="1" x14ac:dyDescent="0.2"/>
    <row r="13" spans="1:26" ht="138.75" customHeight="1" x14ac:dyDescent="0.2">
      <c r="A13" s="177" t="s">
        <v>184</v>
      </c>
      <c r="B13" s="172"/>
      <c r="C13" s="172"/>
      <c r="D13" s="172"/>
      <c r="E13" s="172"/>
      <c r="F13" s="172"/>
      <c r="G13" s="172"/>
      <c r="H13" s="172"/>
      <c r="I13" s="172"/>
      <c r="J13" s="172"/>
      <c r="K13" s="173"/>
    </row>
    <row r="14" spans="1:26" ht="12.75" customHeight="1" x14ac:dyDescent="0.2"/>
    <row r="15" spans="1:26" ht="75" customHeight="1" x14ac:dyDescent="0.2">
      <c r="A15" s="171" t="s">
        <v>185</v>
      </c>
      <c r="B15" s="172"/>
      <c r="C15" s="172"/>
      <c r="D15" s="172"/>
      <c r="E15" s="172"/>
      <c r="F15" s="172"/>
      <c r="G15" s="172"/>
      <c r="H15" s="172"/>
      <c r="I15" s="172"/>
      <c r="J15" s="172"/>
      <c r="K15" s="173"/>
    </row>
    <row r="16" spans="1:26"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K15"/>
    <mergeCell ref="A5:K5"/>
    <mergeCell ref="E2:I2"/>
    <mergeCell ref="A13:K13"/>
  </mergeCells>
  <hyperlinks>
    <hyperlink ref="D8" r:id="rId1" xr:uid="{00000000-0004-0000-0600-000000000000}"/>
    <hyperlink ref="D9" r:id="rId2" location="polycard_client=search-desktop&amp;be_origin=backend&amp;overlay_label=not_apply&amp;search_layout=grid&amp;position=2&amp;type=product&amp;tracking_id=271a1484-c2cd-435e-9c55-fac4d3d9e298&amp;wid=MCO1929250567&amp;sid=search" xr:uid="{00000000-0004-0000-0600-000001000000}"/>
    <hyperlink ref="D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9" workbookViewId="0"/>
  </sheetViews>
  <sheetFormatPr baseColWidth="10" defaultColWidth="12.5703125" defaultRowHeight="15" customHeight="1" x14ac:dyDescent="0.2"/>
  <cols>
    <col min="1" max="2" width="19.140625" style="71" customWidth="1"/>
    <col min="3" max="3" width="22.7109375" style="71" customWidth="1"/>
    <col min="4" max="4" width="36.85546875" style="71" customWidth="1"/>
    <col min="5" max="5" width="21.85546875" style="71" customWidth="1"/>
    <col min="6" max="7" width="17" style="71" customWidth="1"/>
    <col min="8" max="8" width="18" style="71" customWidth="1"/>
    <col min="9" max="9" width="17" style="71" customWidth="1"/>
    <col min="10" max="10" width="19.140625" style="71" customWidth="1"/>
    <col min="11" max="11" width="29.5703125" style="71" customWidth="1"/>
    <col min="12" max="12" width="18" style="71" customWidth="1"/>
    <col min="13" max="26" width="10" style="71" customWidth="1"/>
  </cols>
  <sheetData>
    <row r="1" spans="1:26" ht="12.75" customHeight="1" x14ac:dyDescent="0.2"/>
    <row r="2" spans="1:26" ht="27.75" customHeight="1" x14ac:dyDescent="0.2">
      <c r="E2" s="175" t="s">
        <v>154</v>
      </c>
      <c r="F2" s="176"/>
      <c r="G2" s="176"/>
      <c r="H2" s="176"/>
      <c r="I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2"/>
      <c r="K5" s="173"/>
    </row>
    <row r="6" spans="1:26" ht="15.75" customHeight="1" x14ac:dyDescent="0.2"/>
    <row r="7" spans="1:26" ht="75.75" customHeight="1" x14ac:dyDescent="0.2">
      <c r="A7" s="73" t="s">
        <v>156</v>
      </c>
      <c r="B7" s="100" t="s">
        <v>157</v>
      </c>
      <c r="C7" s="101" t="s">
        <v>200</v>
      </c>
      <c r="D7" s="101" t="s">
        <v>159</v>
      </c>
      <c r="E7" s="101" t="s">
        <v>160</v>
      </c>
      <c r="F7" s="101" t="s">
        <v>161</v>
      </c>
      <c r="G7" s="102" t="s">
        <v>162</v>
      </c>
      <c r="H7" s="22" t="s">
        <v>163</v>
      </c>
      <c r="I7" s="101" t="s">
        <v>164</v>
      </c>
      <c r="J7" s="101" t="s">
        <v>165</v>
      </c>
      <c r="K7" s="101" t="s">
        <v>166</v>
      </c>
      <c r="L7" s="103" t="s">
        <v>167</v>
      </c>
      <c r="M7" s="12"/>
      <c r="N7" s="12"/>
      <c r="O7" s="12"/>
      <c r="P7" s="12"/>
      <c r="Q7" s="12"/>
      <c r="R7" s="12"/>
      <c r="S7" s="12"/>
      <c r="T7" s="12"/>
      <c r="U7" s="12"/>
      <c r="V7" s="12"/>
      <c r="W7" s="12"/>
      <c r="X7" s="12"/>
      <c r="Y7" s="12"/>
      <c r="Z7" s="12"/>
    </row>
    <row r="8" spans="1:26" ht="128.25" customHeight="1" x14ac:dyDescent="0.2">
      <c r="A8" s="73" t="s">
        <v>168</v>
      </c>
      <c r="B8" s="104" t="s">
        <v>85</v>
      </c>
      <c r="C8" s="30"/>
      <c r="D8" s="105" t="s">
        <v>187</v>
      </c>
      <c r="E8" s="111" t="s">
        <v>221</v>
      </c>
      <c r="F8" s="107">
        <v>110000</v>
      </c>
      <c r="G8" s="107">
        <v>110000</v>
      </c>
      <c r="H8" s="121">
        <f>F8/3900</f>
        <v>28.205128205128204</v>
      </c>
      <c r="I8" s="109">
        <f>H8*3900</f>
        <v>110000</v>
      </c>
      <c r="J8" s="110" t="s">
        <v>171</v>
      </c>
      <c r="K8" s="111" t="s">
        <v>222</v>
      </c>
      <c r="L8" s="112" t="s">
        <v>173</v>
      </c>
    </row>
    <row r="9" spans="1:26" ht="130.5" customHeight="1" x14ac:dyDescent="0.2">
      <c r="A9" s="73" t="s">
        <v>174</v>
      </c>
      <c r="B9" s="113" t="s">
        <v>85</v>
      </c>
      <c r="C9" s="31"/>
      <c r="D9" s="105" t="s">
        <v>187</v>
      </c>
      <c r="E9" s="111" t="s">
        <v>223</v>
      </c>
      <c r="F9" s="107">
        <v>175000</v>
      </c>
      <c r="G9" s="107">
        <v>175000</v>
      </c>
      <c r="H9" s="121">
        <f>F9/3900</f>
        <v>44.871794871794869</v>
      </c>
      <c r="I9" s="109">
        <f>H9*3900</f>
        <v>175000</v>
      </c>
      <c r="J9" s="110" t="s">
        <v>171</v>
      </c>
      <c r="K9" s="111" t="s">
        <v>224</v>
      </c>
      <c r="L9" s="112" t="s">
        <v>173</v>
      </c>
    </row>
    <row r="10" spans="1:26" ht="152.25" customHeight="1" x14ac:dyDescent="0.2">
      <c r="A10" s="73" t="s">
        <v>179</v>
      </c>
      <c r="B10" s="179" t="s">
        <v>225</v>
      </c>
      <c r="C10" s="30"/>
      <c r="D10" s="105" t="s">
        <v>226</v>
      </c>
      <c r="E10" s="182" t="s">
        <v>227</v>
      </c>
      <c r="F10" s="181">
        <v>299900</v>
      </c>
      <c r="G10" s="181">
        <v>299900</v>
      </c>
      <c r="H10" s="121">
        <f>F10/3900</f>
        <v>76.897435897435898</v>
      </c>
      <c r="I10" s="109">
        <f>H10*3900</f>
        <v>299900</v>
      </c>
      <c r="J10" s="110" t="s">
        <v>171</v>
      </c>
      <c r="K10" s="111" t="s">
        <v>228</v>
      </c>
      <c r="L10" s="112" t="s">
        <v>195</v>
      </c>
    </row>
    <row r="11" spans="1:26" ht="12.75" hidden="1" customHeight="1" x14ac:dyDescent="0.2">
      <c r="A11" s="17"/>
      <c r="B11" s="180"/>
      <c r="C11" s="76"/>
      <c r="D11" s="110">
        <v>3008921440</v>
      </c>
      <c r="E11" s="180"/>
      <c r="F11" s="180"/>
      <c r="G11" s="180"/>
      <c r="H11" s="75"/>
      <c r="I11" s="75"/>
      <c r="J11" s="75"/>
      <c r="K11" s="75"/>
    </row>
    <row r="12" spans="1:26" ht="12.75" customHeight="1" x14ac:dyDescent="0.2"/>
    <row r="13" spans="1:26" ht="138.75" customHeight="1" x14ac:dyDescent="0.2">
      <c r="A13" s="177" t="s">
        <v>184</v>
      </c>
      <c r="B13" s="172"/>
      <c r="C13" s="172"/>
      <c r="D13" s="172"/>
      <c r="E13" s="172"/>
      <c r="F13" s="172"/>
      <c r="G13" s="172"/>
      <c r="H13" s="172"/>
      <c r="I13" s="172"/>
      <c r="J13" s="172"/>
      <c r="K13" s="173"/>
    </row>
    <row r="14" spans="1:26" ht="12.75" customHeight="1" x14ac:dyDescent="0.2"/>
    <row r="15" spans="1:26" ht="75" customHeight="1" x14ac:dyDescent="0.2">
      <c r="A15" s="171" t="s">
        <v>185</v>
      </c>
      <c r="B15" s="172"/>
      <c r="C15" s="172"/>
      <c r="D15" s="172"/>
      <c r="E15" s="172"/>
      <c r="F15" s="172"/>
      <c r="G15" s="172"/>
      <c r="H15" s="172"/>
      <c r="I15" s="172"/>
      <c r="J15" s="172"/>
      <c r="K15" s="173"/>
    </row>
    <row r="16" spans="1:26"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E10:E11"/>
    <mergeCell ref="A15:K15"/>
    <mergeCell ref="E2:I2"/>
    <mergeCell ref="A13:K13"/>
    <mergeCell ref="B10:B11"/>
    <mergeCell ref="F10:F11"/>
    <mergeCell ref="A5:K5"/>
    <mergeCell ref="G10:G11"/>
  </mergeCells>
  <hyperlinks>
    <hyperlink ref="D8" r:id="rId1" xr:uid="{00000000-0004-0000-0700-000000000000}"/>
    <hyperlink ref="D9" r:id="rId2" xr:uid="{00000000-0004-0000-0700-000001000000}"/>
    <hyperlink ref="D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9" workbookViewId="0"/>
  </sheetViews>
  <sheetFormatPr baseColWidth="10" defaultColWidth="12.5703125" defaultRowHeight="15" customHeight="1" x14ac:dyDescent="0.2"/>
  <cols>
    <col min="1" max="2" width="19.140625" style="71" customWidth="1"/>
    <col min="3" max="3" width="25.140625" style="71" customWidth="1"/>
    <col min="4" max="4" width="31.5703125" style="71" customWidth="1"/>
    <col min="5" max="5" width="21.85546875" style="71" customWidth="1"/>
    <col min="6" max="7" width="17" style="71" customWidth="1"/>
    <col min="8" max="8" width="18" style="71" customWidth="1"/>
    <col min="9" max="9" width="17" style="71" customWidth="1"/>
    <col min="10" max="10" width="19.140625" style="71" customWidth="1"/>
    <col min="11" max="11" width="35.28515625" style="71" customWidth="1"/>
    <col min="12" max="12" width="21.140625" style="71" customWidth="1"/>
    <col min="13" max="26" width="10" style="71" customWidth="1"/>
  </cols>
  <sheetData>
    <row r="1" spans="1:26" ht="12.75" customHeight="1" x14ac:dyDescent="0.2"/>
    <row r="2" spans="1:26" ht="27.75" customHeight="1" x14ac:dyDescent="0.2">
      <c r="E2" s="175" t="s">
        <v>154</v>
      </c>
      <c r="F2" s="176"/>
      <c r="G2" s="176"/>
      <c r="H2" s="176"/>
      <c r="I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2"/>
      <c r="K5" s="173"/>
    </row>
    <row r="6" spans="1:26" ht="15.75" customHeight="1" x14ac:dyDescent="0.2"/>
    <row r="7" spans="1:26" ht="75.75" customHeight="1" x14ac:dyDescent="0.2">
      <c r="A7" s="73" t="s">
        <v>156</v>
      </c>
      <c r="B7" s="100" t="s">
        <v>157</v>
      </c>
      <c r="C7" s="122" t="s">
        <v>186</v>
      </c>
      <c r="D7" s="122" t="s">
        <v>159</v>
      </c>
      <c r="E7" s="122" t="s">
        <v>160</v>
      </c>
      <c r="F7" s="122" t="s">
        <v>161</v>
      </c>
      <c r="G7" s="123" t="s">
        <v>162</v>
      </c>
      <c r="H7" s="32" t="s">
        <v>163</v>
      </c>
      <c r="I7" s="122" t="s">
        <v>164</v>
      </c>
      <c r="J7" s="122" t="s">
        <v>165</v>
      </c>
      <c r="K7" s="122" t="s">
        <v>166</v>
      </c>
      <c r="L7" s="103" t="s">
        <v>167</v>
      </c>
      <c r="M7" s="12"/>
      <c r="N7" s="12"/>
      <c r="O7" s="12"/>
      <c r="P7" s="12"/>
      <c r="Q7" s="12"/>
      <c r="R7" s="12"/>
      <c r="S7" s="12"/>
      <c r="T7" s="12"/>
      <c r="U7" s="12"/>
      <c r="V7" s="12"/>
      <c r="W7" s="12"/>
      <c r="X7" s="12"/>
      <c r="Y7" s="12"/>
      <c r="Z7" s="12"/>
    </row>
    <row r="8" spans="1:26" ht="139.5" customHeight="1" x14ac:dyDescent="0.2">
      <c r="A8" s="116" t="s">
        <v>168</v>
      </c>
      <c r="B8" s="104" t="s">
        <v>105</v>
      </c>
      <c r="C8" s="25"/>
      <c r="D8" s="105" t="s">
        <v>229</v>
      </c>
      <c r="E8" s="124" t="s">
        <v>230</v>
      </c>
      <c r="F8" s="107">
        <v>140000</v>
      </c>
      <c r="G8" s="107">
        <v>140000</v>
      </c>
      <c r="H8" s="108">
        <f>F8/3900</f>
        <v>35.897435897435898</v>
      </c>
      <c r="I8" s="109">
        <f>H8*3900</f>
        <v>140000</v>
      </c>
      <c r="J8" s="110" t="s">
        <v>171</v>
      </c>
      <c r="K8" s="111" t="s">
        <v>231</v>
      </c>
      <c r="L8" s="112" t="s">
        <v>195</v>
      </c>
    </row>
    <row r="9" spans="1:26" ht="129.75" customHeight="1" x14ac:dyDescent="0.2">
      <c r="A9" s="116" t="s">
        <v>174</v>
      </c>
      <c r="B9" s="113" t="s">
        <v>85</v>
      </c>
      <c r="C9" s="25"/>
      <c r="D9" s="117" t="s">
        <v>232</v>
      </c>
      <c r="E9" s="111" t="s">
        <v>233</v>
      </c>
      <c r="F9" s="119">
        <v>190000</v>
      </c>
      <c r="G9" s="107">
        <v>190000</v>
      </c>
      <c r="H9" s="108">
        <f>F9/3900</f>
        <v>48.717948717948715</v>
      </c>
      <c r="I9" s="109">
        <f>H9*3900</f>
        <v>190000</v>
      </c>
      <c r="J9" s="110" t="s">
        <v>171</v>
      </c>
      <c r="K9" s="111" t="s">
        <v>234</v>
      </c>
      <c r="L9" s="112" t="s">
        <v>190</v>
      </c>
    </row>
    <row r="10" spans="1:26" ht="115.5" customHeight="1" x14ac:dyDescent="0.2">
      <c r="A10" s="116" t="s">
        <v>179</v>
      </c>
      <c r="B10" s="104" t="s">
        <v>116</v>
      </c>
      <c r="C10" s="25"/>
      <c r="D10" s="117" t="s">
        <v>175</v>
      </c>
      <c r="E10" s="111" t="s">
        <v>235</v>
      </c>
      <c r="F10" s="119">
        <v>289000</v>
      </c>
      <c r="G10" s="107">
        <v>289000</v>
      </c>
      <c r="H10" s="108">
        <f>F10/3900</f>
        <v>74.102564102564102</v>
      </c>
      <c r="I10" s="109">
        <f>H10*3900</f>
        <v>289000</v>
      </c>
      <c r="J10" s="110" t="s">
        <v>171</v>
      </c>
      <c r="K10" s="111" t="s">
        <v>236</v>
      </c>
      <c r="L10" s="112" t="s">
        <v>195</v>
      </c>
    </row>
    <row r="11" spans="1:26" hidden="1" x14ac:dyDescent="0.2">
      <c r="A11" s="17"/>
      <c r="B11" s="29"/>
      <c r="C11" s="29"/>
      <c r="D11" s="29"/>
      <c r="E11" s="29"/>
      <c r="F11" s="29"/>
      <c r="G11" s="29"/>
      <c r="H11" s="29"/>
      <c r="I11" s="29"/>
      <c r="J11" s="29"/>
      <c r="K11" s="29"/>
    </row>
    <row r="12" spans="1:26" ht="12.75" customHeight="1" x14ac:dyDescent="0.2"/>
    <row r="13" spans="1:26" ht="138.75" customHeight="1" x14ac:dyDescent="0.2">
      <c r="A13" s="177" t="s">
        <v>184</v>
      </c>
      <c r="B13" s="172"/>
      <c r="C13" s="172"/>
      <c r="D13" s="172"/>
      <c r="E13" s="172"/>
      <c r="F13" s="172"/>
      <c r="G13" s="172"/>
      <c r="H13" s="172"/>
      <c r="I13" s="172"/>
      <c r="J13" s="172"/>
      <c r="K13" s="173"/>
    </row>
    <row r="14" spans="1:26" ht="12.75" customHeight="1" x14ac:dyDescent="0.2"/>
    <row r="15" spans="1:26" ht="75" customHeight="1" x14ac:dyDescent="0.2">
      <c r="A15" s="171" t="s">
        <v>185</v>
      </c>
      <c r="B15" s="172"/>
      <c r="C15" s="172"/>
      <c r="D15" s="172"/>
      <c r="E15" s="172"/>
      <c r="F15" s="172"/>
      <c r="G15" s="172"/>
      <c r="H15" s="172"/>
      <c r="I15" s="172"/>
      <c r="J15" s="172"/>
      <c r="K15" s="173"/>
    </row>
    <row r="16" spans="1:26"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K15"/>
    <mergeCell ref="A5:K5"/>
    <mergeCell ref="E2:I2"/>
    <mergeCell ref="A13:K13"/>
  </mergeCells>
  <hyperlinks>
    <hyperlink ref="D8" r:id="rId1" xr:uid="{00000000-0004-0000-0800-000000000000}"/>
    <hyperlink ref="D9" r:id="rId2" xr:uid="{00000000-0004-0000-0800-000001000000}"/>
    <hyperlink ref="D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C9" workbookViewId="0"/>
  </sheetViews>
  <sheetFormatPr baseColWidth="10" defaultColWidth="12.5703125" defaultRowHeight="15" customHeight="1" x14ac:dyDescent="0.2"/>
  <cols>
    <col min="1" max="2" width="19.140625" style="71" customWidth="1"/>
    <col min="3" max="3" width="23.85546875" style="71" customWidth="1"/>
    <col min="4" max="4" width="28.42578125" style="71" customWidth="1"/>
    <col min="5" max="5" width="21.85546875" style="71" customWidth="1"/>
    <col min="6" max="7" width="17" style="71" customWidth="1"/>
    <col min="8" max="8" width="18" style="71" customWidth="1"/>
    <col min="9" max="9" width="17" style="71" customWidth="1"/>
    <col min="10" max="10" width="19.140625" style="71" customWidth="1"/>
    <col min="11" max="11" width="34.5703125" style="71" customWidth="1"/>
    <col min="12" max="12" width="15.140625" style="71" customWidth="1"/>
    <col min="13" max="26" width="10" style="71" customWidth="1"/>
  </cols>
  <sheetData>
    <row r="1" spans="1:26" ht="12.75" customHeight="1" x14ac:dyDescent="0.2"/>
    <row r="2" spans="1:26" ht="27.75" customHeight="1" x14ac:dyDescent="0.2">
      <c r="E2" s="175" t="s">
        <v>154</v>
      </c>
      <c r="F2" s="176"/>
      <c r="G2" s="176"/>
      <c r="H2" s="176"/>
      <c r="I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2"/>
      <c r="K5" s="173"/>
    </row>
    <row r="6" spans="1:26" ht="15.75" customHeight="1" x14ac:dyDescent="0.2"/>
    <row r="7" spans="1:26" ht="75.75" customHeight="1" x14ac:dyDescent="0.2">
      <c r="A7" s="73" t="s">
        <v>156</v>
      </c>
      <c r="B7" s="100" t="s">
        <v>157</v>
      </c>
      <c r="C7" s="125" t="s">
        <v>200</v>
      </c>
      <c r="D7" s="125" t="s">
        <v>159</v>
      </c>
      <c r="E7" s="125" t="s">
        <v>160</v>
      </c>
      <c r="F7" s="125" t="s">
        <v>161</v>
      </c>
      <c r="G7" s="126" t="s">
        <v>162</v>
      </c>
      <c r="H7" s="127" t="s">
        <v>163</v>
      </c>
      <c r="I7" s="125" t="s">
        <v>164</v>
      </c>
      <c r="J7" s="125" t="s">
        <v>165</v>
      </c>
      <c r="K7" s="125" t="s">
        <v>166</v>
      </c>
      <c r="L7" s="103" t="s">
        <v>167</v>
      </c>
      <c r="M7" s="12"/>
      <c r="N7" s="12"/>
      <c r="O7" s="12"/>
      <c r="P7" s="12"/>
      <c r="Q7" s="12"/>
      <c r="R7" s="12"/>
      <c r="S7" s="12"/>
      <c r="T7" s="12"/>
      <c r="U7" s="12"/>
      <c r="V7" s="12"/>
      <c r="W7" s="12"/>
      <c r="X7" s="12"/>
      <c r="Y7" s="12"/>
      <c r="Z7" s="12"/>
    </row>
    <row r="8" spans="1:26" ht="114.75" customHeight="1" x14ac:dyDescent="0.2">
      <c r="A8" s="116" t="s">
        <v>168</v>
      </c>
      <c r="B8" s="104" t="s">
        <v>85</v>
      </c>
      <c r="C8" s="25"/>
      <c r="D8" s="117" t="s">
        <v>237</v>
      </c>
      <c r="E8" s="111" t="s">
        <v>238</v>
      </c>
      <c r="F8" s="128">
        <v>45980</v>
      </c>
      <c r="G8" s="107">
        <v>45980</v>
      </c>
      <c r="H8" s="108">
        <f>F8/3900</f>
        <v>11.78974358974359</v>
      </c>
      <c r="I8" s="109">
        <f>H8*3900</f>
        <v>45980</v>
      </c>
      <c r="J8" s="110" t="s">
        <v>171</v>
      </c>
      <c r="K8" s="111" t="s">
        <v>239</v>
      </c>
      <c r="L8" s="112" t="s">
        <v>190</v>
      </c>
    </row>
    <row r="9" spans="1:26" ht="116.25" customHeight="1" x14ac:dyDescent="0.2">
      <c r="A9" s="116" t="s">
        <v>174</v>
      </c>
      <c r="B9" s="113" t="s">
        <v>240</v>
      </c>
      <c r="C9" s="25"/>
      <c r="D9" s="117" t="s">
        <v>241</v>
      </c>
      <c r="E9" s="118" t="s">
        <v>242</v>
      </c>
      <c r="F9" s="129">
        <v>77900</v>
      </c>
      <c r="G9" s="107">
        <v>77900</v>
      </c>
      <c r="H9" s="108">
        <f>F9/3900</f>
        <v>19.974358974358974</v>
      </c>
      <c r="I9" s="109">
        <f>H9*3900</f>
        <v>77900</v>
      </c>
      <c r="J9" s="110" t="s">
        <v>171</v>
      </c>
      <c r="K9" s="130" t="s">
        <v>243</v>
      </c>
      <c r="L9" s="112" t="s">
        <v>244</v>
      </c>
    </row>
    <row r="10" spans="1:26" ht="113.25" customHeight="1" x14ac:dyDescent="0.2">
      <c r="A10" s="116" t="s">
        <v>179</v>
      </c>
      <c r="B10" s="179" t="s">
        <v>245</v>
      </c>
      <c r="C10" s="31"/>
      <c r="D10" s="105" t="s">
        <v>246</v>
      </c>
      <c r="E10" s="111" t="s">
        <v>247</v>
      </c>
      <c r="F10" s="181">
        <v>85167</v>
      </c>
      <c r="G10" s="181">
        <v>85167</v>
      </c>
      <c r="H10" s="108">
        <f>F10/3900</f>
        <v>21.837692307692308</v>
      </c>
      <c r="I10" s="109">
        <f>H10*3900</f>
        <v>85167</v>
      </c>
      <c r="J10" s="110" t="s">
        <v>171</v>
      </c>
      <c r="K10" s="118" t="s">
        <v>248</v>
      </c>
      <c r="L10" s="112" t="s">
        <v>190</v>
      </c>
    </row>
    <row r="11" spans="1:26" ht="12.75" hidden="1" customHeight="1" x14ac:dyDescent="0.2">
      <c r="A11" s="33"/>
      <c r="B11" s="180"/>
      <c r="C11" s="76"/>
      <c r="D11" s="110" t="s">
        <v>249</v>
      </c>
      <c r="E11" s="34"/>
      <c r="F11" s="180"/>
      <c r="G11" s="180"/>
      <c r="H11" s="35"/>
      <c r="I11" s="35"/>
      <c r="J11" s="35"/>
      <c r="K11" s="35"/>
    </row>
    <row r="12" spans="1:26" ht="12.75" customHeight="1" x14ac:dyDescent="0.2"/>
    <row r="13" spans="1:26" ht="138.75" customHeight="1" x14ac:dyDescent="0.2">
      <c r="A13" s="177" t="s">
        <v>184</v>
      </c>
      <c r="B13" s="172"/>
      <c r="C13" s="172"/>
      <c r="D13" s="172"/>
      <c r="E13" s="172"/>
      <c r="F13" s="172"/>
      <c r="G13" s="172"/>
      <c r="H13" s="172"/>
      <c r="I13" s="172"/>
      <c r="J13" s="172"/>
      <c r="K13" s="173"/>
    </row>
    <row r="14" spans="1:26" ht="12.75" customHeight="1" x14ac:dyDescent="0.2"/>
    <row r="15" spans="1:26" ht="75" customHeight="1" x14ac:dyDescent="0.2">
      <c r="A15" s="171" t="s">
        <v>185</v>
      </c>
      <c r="B15" s="172"/>
      <c r="C15" s="172"/>
      <c r="D15" s="172"/>
      <c r="E15" s="172"/>
      <c r="F15" s="172"/>
      <c r="G15" s="172"/>
      <c r="H15" s="172"/>
      <c r="I15" s="172"/>
      <c r="J15" s="172"/>
      <c r="K15" s="173"/>
    </row>
    <row r="16" spans="1:26"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A15:K15"/>
    <mergeCell ref="E2:I2"/>
    <mergeCell ref="A13:K13"/>
    <mergeCell ref="B10:B11"/>
    <mergeCell ref="F10:F11"/>
    <mergeCell ref="A5:K5"/>
    <mergeCell ref="G10:G11"/>
  </mergeCells>
  <hyperlinks>
    <hyperlink ref="D8" r:id="rId1" xr:uid="{00000000-0004-0000-0900-000000000000}"/>
    <hyperlink ref="D9" r:id="rId2" xr:uid="{00000000-0004-0000-0900-000001000000}"/>
    <hyperlink ref="D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10" workbookViewId="0"/>
  </sheetViews>
  <sheetFormatPr baseColWidth="10" defaultColWidth="12.5703125" defaultRowHeight="15" customHeight="1" x14ac:dyDescent="0.2"/>
  <cols>
    <col min="1" max="2" width="19.140625" style="71" customWidth="1"/>
    <col min="3" max="3" width="27.28515625" style="71" customWidth="1"/>
    <col min="4" max="4" width="19.140625" style="71" customWidth="1"/>
    <col min="5" max="5" width="21.85546875" style="71" customWidth="1"/>
    <col min="6" max="7" width="17" style="71" customWidth="1"/>
    <col min="8" max="8" width="18" style="71" customWidth="1"/>
    <col min="9" max="9" width="17" style="71" customWidth="1"/>
    <col min="10" max="10" width="19.140625" style="71" customWidth="1"/>
    <col min="11" max="11" width="30.5703125" style="71" customWidth="1"/>
    <col min="12" max="12" width="19.140625" style="71" customWidth="1"/>
    <col min="13" max="26" width="10" style="71" customWidth="1"/>
  </cols>
  <sheetData>
    <row r="1" spans="1:26" ht="12.75" customHeight="1" x14ac:dyDescent="0.2"/>
    <row r="2" spans="1:26" ht="27.75" customHeight="1" x14ac:dyDescent="0.2">
      <c r="E2" s="175" t="s">
        <v>154</v>
      </c>
      <c r="F2" s="176"/>
      <c r="G2" s="176"/>
      <c r="H2" s="176"/>
      <c r="I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2"/>
      <c r="K5" s="173"/>
    </row>
    <row r="6" spans="1:26" ht="15.75" customHeight="1" x14ac:dyDescent="0.2"/>
    <row r="7" spans="1:26" ht="75.75" customHeight="1" x14ac:dyDescent="0.2">
      <c r="A7" s="73" t="s">
        <v>156</v>
      </c>
      <c r="B7" s="100" t="s">
        <v>157</v>
      </c>
      <c r="C7" s="122" t="s">
        <v>200</v>
      </c>
      <c r="D7" s="122" t="s">
        <v>159</v>
      </c>
      <c r="E7" s="122" t="s">
        <v>160</v>
      </c>
      <c r="F7" s="122" t="s">
        <v>161</v>
      </c>
      <c r="G7" s="123" t="s">
        <v>162</v>
      </c>
      <c r="H7" s="32" t="s">
        <v>163</v>
      </c>
      <c r="I7" s="122" t="s">
        <v>164</v>
      </c>
      <c r="J7" s="122" t="s">
        <v>165</v>
      </c>
      <c r="K7" s="122" t="s">
        <v>166</v>
      </c>
      <c r="L7" s="103" t="s">
        <v>167</v>
      </c>
      <c r="M7" s="12"/>
      <c r="N7" s="12"/>
      <c r="O7" s="12"/>
      <c r="P7" s="12"/>
      <c r="Q7" s="12"/>
      <c r="R7" s="12"/>
      <c r="S7" s="12"/>
      <c r="T7" s="12"/>
      <c r="U7" s="12"/>
      <c r="V7" s="12"/>
      <c r="W7" s="12"/>
      <c r="X7" s="12"/>
      <c r="Y7" s="12"/>
      <c r="Z7" s="12"/>
    </row>
    <row r="8" spans="1:26" ht="165" customHeight="1" x14ac:dyDescent="0.2">
      <c r="A8" s="116" t="s">
        <v>168</v>
      </c>
      <c r="B8" s="104" t="s">
        <v>85</v>
      </c>
      <c r="C8" s="25"/>
      <c r="D8" s="117" t="s">
        <v>250</v>
      </c>
      <c r="E8" s="131" t="s">
        <v>251</v>
      </c>
      <c r="F8" s="119">
        <v>20273</v>
      </c>
      <c r="G8" s="107">
        <v>20273</v>
      </c>
      <c r="H8" s="108">
        <f>F8/3900</f>
        <v>5.198205128205128</v>
      </c>
      <c r="I8" s="132">
        <f>H8*3900</f>
        <v>20273</v>
      </c>
      <c r="J8" s="110" t="s">
        <v>171</v>
      </c>
      <c r="K8" s="133" t="s">
        <v>252</v>
      </c>
      <c r="L8" s="112" t="s">
        <v>190</v>
      </c>
    </row>
    <row r="9" spans="1:26" ht="146.25" customHeight="1" x14ac:dyDescent="0.2">
      <c r="A9" s="116" t="s">
        <v>174</v>
      </c>
      <c r="B9" s="113" t="s">
        <v>253</v>
      </c>
      <c r="C9" s="25"/>
      <c r="D9" s="117" t="s">
        <v>254</v>
      </c>
      <c r="E9" s="134" t="s">
        <v>255</v>
      </c>
      <c r="F9" s="107">
        <v>27900</v>
      </c>
      <c r="G9" s="107">
        <v>27900</v>
      </c>
      <c r="H9" s="108">
        <f>F9/3900</f>
        <v>7.1538461538461542</v>
      </c>
      <c r="I9" s="132">
        <f>H9*3900</f>
        <v>27900</v>
      </c>
      <c r="J9" s="110" t="s">
        <v>171</v>
      </c>
      <c r="K9" s="135" t="s">
        <v>256</v>
      </c>
      <c r="L9" s="112" t="s">
        <v>195</v>
      </c>
    </row>
    <row r="10" spans="1:26" ht="173.25" customHeight="1" x14ac:dyDescent="0.2">
      <c r="A10" s="116" t="s">
        <v>179</v>
      </c>
      <c r="B10" s="104" t="s">
        <v>85</v>
      </c>
      <c r="C10" s="25"/>
      <c r="D10" s="117" t="s">
        <v>187</v>
      </c>
      <c r="E10" s="134" t="s">
        <v>257</v>
      </c>
      <c r="F10" s="119">
        <v>41933</v>
      </c>
      <c r="G10" s="107">
        <v>41933</v>
      </c>
      <c r="H10" s="108">
        <f>F10/3900</f>
        <v>10.752051282051282</v>
      </c>
      <c r="I10" s="132">
        <f>H10*3900</f>
        <v>41933</v>
      </c>
      <c r="J10" s="110" t="s">
        <v>171</v>
      </c>
      <c r="K10" s="133" t="s">
        <v>258</v>
      </c>
      <c r="L10" s="112" t="s">
        <v>190</v>
      </c>
    </row>
    <row r="11" spans="1:26" hidden="1" x14ac:dyDescent="0.2">
      <c r="A11" s="17"/>
      <c r="B11" s="29"/>
      <c r="C11" s="29"/>
      <c r="D11" s="29"/>
      <c r="E11" s="29"/>
      <c r="F11" s="29"/>
      <c r="G11" s="29"/>
      <c r="H11" s="29"/>
      <c r="I11" s="29"/>
      <c r="J11" s="3" t="s">
        <v>259</v>
      </c>
      <c r="K11" s="29"/>
    </row>
    <row r="12" spans="1:26" ht="12.75" customHeight="1" x14ac:dyDescent="0.2"/>
    <row r="13" spans="1:26" ht="138.75" customHeight="1" x14ac:dyDescent="0.2">
      <c r="A13" s="177" t="s">
        <v>184</v>
      </c>
      <c r="B13" s="172"/>
      <c r="C13" s="172"/>
      <c r="D13" s="172"/>
      <c r="E13" s="172"/>
      <c r="F13" s="172"/>
      <c r="G13" s="172"/>
      <c r="H13" s="172"/>
      <c r="I13" s="172"/>
      <c r="J13" s="172"/>
      <c r="K13" s="173"/>
    </row>
    <row r="14" spans="1:26" ht="12.75" customHeight="1" x14ac:dyDescent="0.2"/>
    <row r="15" spans="1:26" ht="75" customHeight="1" x14ac:dyDescent="0.2">
      <c r="A15" s="171" t="s">
        <v>185</v>
      </c>
      <c r="B15" s="172"/>
      <c r="C15" s="172"/>
      <c r="D15" s="172"/>
      <c r="E15" s="172"/>
      <c r="F15" s="172"/>
      <c r="G15" s="172"/>
      <c r="H15" s="172"/>
      <c r="I15" s="172"/>
      <c r="J15" s="172"/>
      <c r="K15" s="173"/>
    </row>
    <row r="16" spans="1:26"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K15"/>
    <mergeCell ref="A5:K5"/>
    <mergeCell ref="E2:I2"/>
    <mergeCell ref="A13:K13"/>
  </mergeCells>
  <hyperlinks>
    <hyperlink ref="D8" r:id="rId1" xr:uid="{00000000-0004-0000-0A00-000000000000}"/>
    <hyperlink ref="D9" r:id="rId2" xr:uid="{00000000-0004-0000-0A00-000001000000}"/>
    <hyperlink ref="D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
  <sheetViews>
    <sheetView topLeftCell="A9" workbookViewId="0"/>
  </sheetViews>
  <sheetFormatPr baseColWidth="10" defaultColWidth="12.5703125" defaultRowHeight="15" customHeight="1" x14ac:dyDescent="0.2"/>
  <cols>
    <col min="1" max="2" width="19.140625" style="71" customWidth="1"/>
    <col min="3" max="3" width="30.140625" style="71" customWidth="1"/>
    <col min="4" max="4" width="40.5703125" style="71" customWidth="1"/>
    <col min="5" max="5" width="21.85546875" style="71" customWidth="1"/>
    <col min="6" max="7" width="17" style="71" customWidth="1"/>
    <col min="8" max="8" width="18" style="71" customWidth="1"/>
    <col min="9" max="9" width="17" style="71" customWidth="1"/>
    <col min="10" max="10" width="19.140625" style="71" customWidth="1"/>
    <col min="11" max="11" width="41" style="71" customWidth="1"/>
    <col min="12" max="12" width="31.7109375" style="71" customWidth="1"/>
    <col min="13" max="27" width="10" style="71" customWidth="1"/>
  </cols>
  <sheetData>
    <row r="1" spans="1:27" ht="12.75" customHeight="1" x14ac:dyDescent="0.2"/>
    <row r="2" spans="1:27" ht="27.75" customHeight="1" x14ac:dyDescent="0.2">
      <c r="E2" s="175" t="s">
        <v>154</v>
      </c>
      <c r="F2" s="176"/>
      <c r="G2" s="176"/>
      <c r="H2" s="176"/>
      <c r="I2" s="176"/>
    </row>
    <row r="3" spans="1:27" ht="12.75" customHeight="1" x14ac:dyDescent="0.2"/>
    <row r="4" spans="1:27" ht="12.75" customHeight="1" x14ac:dyDescent="0.2"/>
    <row r="5" spans="1:27" ht="43.5" customHeight="1" x14ac:dyDescent="0.2">
      <c r="A5" s="178" t="s">
        <v>155</v>
      </c>
      <c r="B5" s="172"/>
      <c r="C5" s="172"/>
      <c r="D5" s="172"/>
      <c r="E5" s="172"/>
      <c r="F5" s="172"/>
      <c r="G5" s="172"/>
      <c r="H5" s="172"/>
      <c r="I5" s="172"/>
      <c r="J5" s="172"/>
      <c r="K5" s="173"/>
    </row>
    <row r="6" spans="1:27" ht="15.75" customHeight="1" x14ac:dyDescent="0.2"/>
    <row r="7" spans="1:27" ht="75.75" customHeight="1" x14ac:dyDescent="0.2">
      <c r="A7" s="73" t="s">
        <v>156</v>
      </c>
      <c r="B7" s="100" t="s">
        <v>157</v>
      </c>
      <c r="C7" s="136" t="s">
        <v>200</v>
      </c>
      <c r="D7" s="136" t="s">
        <v>159</v>
      </c>
      <c r="E7" s="136" t="s">
        <v>160</v>
      </c>
      <c r="F7" s="136" t="s">
        <v>161</v>
      </c>
      <c r="G7" s="137" t="s">
        <v>162</v>
      </c>
      <c r="H7" s="36" t="s">
        <v>163</v>
      </c>
      <c r="I7" s="136" t="s">
        <v>164</v>
      </c>
      <c r="J7" s="136" t="s">
        <v>165</v>
      </c>
      <c r="K7" s="136" t="s">
        <v>166</v>
      </c>
      <c r="L7" s="103" t="s">
        <v>167</v>
      </c>
      <c r="M7" s="12"/>
      <c r="N7" s="12"/>
      <c r="O7" s="12"/>
      <c r="P7" s="12"/>
      <c r="Q7" s="12"/>
      <c r="R7" s="12"/>
      <c r="S7" s="12"/>
      <c r="T7" s="12"/>
      <c r="U7" s="12"/>
      <c r="V7" s="12"/>
      <c r="W7" s="12"/>
      <c r="X7" s="12"/>
      <c r="Y7" s="12"/>
      <c r="Z7" s="12"/>
      <c r="AA7" s="12"/>
    </row>
    <row r="8" spans="1:27" ht="118.5" customHeight="1" x14ac:dyDescent="0.2">
      <c r="A8" s="116" t="s">
        <v>168</v>
      </c>
      <c r="B8" s="104" t="s">
        <v>116</v>
      </c>
      <c r="C8" s="25"/>
      <c r="D8" s="117" t="s">
        <v>175</v>
      </c>
      <c r="E8" s="111" t="s">
        <v>260</v>
      </c>
      <c r="F8" s="119">
        <v>1419900</v>
      </c>
      <c r="G8" s="119">
        <v>1419900</v>
      </c>
      <c r="H8" s="108">
        <f>F8/3900</f>
        <v>364.07692307692309</v>
      </c>
      <c r="I8" s="109">
        <f>H8*3900</f>
        <v>1419900</v>
      </c>
      <c r="J8" s="110" t="s">
        <v>171</v>
      </c>
      <c r="K8" s="138" t="s">
        <v>261</v>
      </c>
      <c r="L8" s="112" t="s">
        <v>195</v>
      </c>
    </row>
    <row r="9" spans="1:27" ht="178.5" customHeight="1" x14ac:dyDescent="0.2">
      <c r="A9" s="116" t="s">
        <v>174</v>
      </c>
      <c r="B9" s="113" t="s">
        <v>262</v>
      </c>
      <c r="C9" s="25"/>
      <c r="D9" s="117" t="s">
        <v>263</v>
      </c>
      <c r="E9" s="139" t="s">
        <v>264</v>
      </c>
      <c r="F9" s="107">
        <v>1659900</v>
      </c>
      <c r="G9" s="119">
        <v>1659900</v>
      </c>
      <c r="H9" s="108">
        <f>F9/3900</f>
        <v>425.61538461538464</v>
      </c>
      <c r="I9" s="109">
        <f>H9*3900</f>
        <v>1659900</v>
      </c>
      <c r="J9" s="110" t="s">
        <v>171</v>
      </c>
      <c r="K9" s="140" t="s">
        <v>265</v>
      </c>
      <c r="L9" s="112" t="s">
        <v>178</v>
      </c>
    </row>
    <row r="10" spans="1:27" ht="153" customHeight="1" x14ac:dyDescent="0.2">
      <c r="A10" s="116" t="s">
        <v>179</v>
      </c>
      <c r="B10" s="104" t="s">
        <v>116</v>
      </c>
      <c r="C10" s="25"/>
      <c r="D10" s="117" t="s">
        <v>266</v>
      </c>
      <c r="E10" s="139" t="s">
        <v>267</v>
      </c>
      <c r="F10" s="119">
        <v>1749900</v>
      </c>
      <c r="G10" s="119">
        <v>1749900</v>
      </c>
      <c r="H10" s="108">
        <f>F10/3900</f>
        <v>448.69230769230768</v>
      </c>
      <c r="I10" s="109">
        <f>H10*3900</f>
        <v>1749900</v>
      </c>
      <c r="J10" s="110" t="s">
        <v>171</v>
      </c>
      <c r="K10" s="140" t="s">
        <v>268</v>
      </c>
      <c r="L10" s="112" t="s">
        <v>195</v>
      </c>
    </row>
    <row r="11" spans="1:27" hidden="1" x14ac:dyDescent="0.2">
      <c r="A11" s="17"/>
      <c r="B11" s="29"/>
      <c r="C11" s="29"/>
      <c r="D11" s="29"/>
      <c r="E11" s="29"/>
      <c r="F11" s="29"/>
      <c r="G11" s="29"/>
      <c r="H11" s="29"/>
      <c r="I11" s="29"/>
      <c r="J11" s="29"/>
      <c r="K11" s="29"/>
      <c r="L11" s="37"/>
    </row>
    <row r="12" spans="1:27" ht="12.75" customHeight="1" x14ac:dyDescent="0.2"/>
    <row r="13" spans="1:27" ht="138.75" customHeight="1" x14ac:dyDescent="0.2">
      <c r="A13" s="177" t="s">
        <v>184</v>
      </c>
      <c r="B13" s="172"/>
      <c r="C13" s="172"/>
      <c r="D13" s="172"/>
      <c r="E13" s="172"/>
      <c r="F13" s="172"/>
      <c r="G13" s="172"/>
      <c r="H13" s="172"/>
      <c r="I13" s="172"/>
      <c r="J13" s="172"/>
      <c r="K13" s="173"/>
    </row>
    <row r="14" spans="1:27" ht="12.75" customHeight="1" x14ac:dyDescent="0.2"/>
    <row r="15" spans="1:27" ht="75" customHeight="1" x14ac:dyDescent="0.2">
      <c r="A15" s="171" t="s">
        <v>185</v>
      </c>
      <c r="B15" s="172"/>
      <c r="C15" s="172"/>
      <c r="D15" s="172"/>
      <c r="E15" s="172"/>
      <c r="F15" s="172"/>
      <c r="G15" s="172"/>
      <c r="H15" s="172"/>
      <c r="I15" s="172"/>
      <c r="J15" s="172"/>
      <c r="K15" s="173"/>
    </row>
    <row r="16" spans="1:27" ht="12.75" customHeight="1" x14ac:dyDescent="0.2"/>
    <row r="17" spans="5:8" ht="12.75" customHeight="1" x14ac:dyDescent="0.2"/>
    <row r="18" spans="5:8" ht="12.75" customHeight="1" x14ac:dyDescent="0.2"/>
    <row r="19" spans="5:8" ht="12.75" customHeight="1" x14ac:dyDescent="0.2"/>
    <row r="20" spans="5:8" ht="12.75" customHeight="1" x14ac:dyDescent="0.2"/>
    <row r="21" spans="5:8" ht="12.75" customHeight="1" x14ac:dyDescent="0.2"/>
    <row r="22" spans="5:8" ht="12.75" customHeight="1" x14ac:dyDescent="0.2"/>
    <row r="23" spans="5:8" ht="12.75" customHeight="1" x14ac:dyDescent="0.2"/>
    <row r="24" spans="5:8" ht="12.75" customHeight="1" x14ac:dyDescent="0.2"/>
    <row r="25" spans="5:8" ht="12.75" customHeight="1" x14ac:dyDescent="0.2"/>
    <row r="26" spans="5:8" ht="12.75" customHeight="1" x14ac:dyDescent="0.2">
      <c r="E26" s="20"/>
      <c r="F26" s="20"/>
      <c r="G26" s="8"/>
      <c r="H26" s="8"/>
    </row>
    <row r="27" spans="5:8" ht="12.75" customHeight="1" x14ac:dyDescent="0.2"/>
    <row r="28" spans="5:8" ht="12.75" customHeight="1" x14ac:dyDescent="0.2"/>
    <row r="29" spans="5:8" ht="12.75" customHeight="1" x14ac:dyDescent="0.2"/>
    <row r="30" spans="5:8" ht="12.75" customHeight="1" x14ac:dyDescent="0.2"/>
    <row r="31" spans="5:8" ht="12.75" customHeight="1" x14ac:dyDescent="0.2"/>
    <row r="32" spans="5: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K15"/>
    <mergeCell ref="A5:K5"/>
    <mergeCell ref="E2:I2"/>
    <mergeCell ref="A13:K13"/>
  </mergeCells>
  <hyperlinks>
    <hyperlink ref="D8" r:id="rId1" xr:uid="{00000000-0004-0000-0B00-000000000000}"/>
    <hyperlink ref="D9" r:id="rId2" xr:uid="{00000000-0004-0000-0B00-000001000000}"/>
    <hyperlink ref="D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8" workbookViewId="0"/>
  </sheetViews>
  <sheetFormatPr baseColWidth="10" defaultColWidth="12.5703125" defaultRowHeight="15" customHeight="1" x14ac:dyDescent="0.2"/>
  <cols>
    <col min="1" max="3" width="19.140625" style="71" customWidth="1"/>
    <col min="4" max="4" width="21.85546875" style="71" customWidth="1"/>
    <col min="5" max="5" width="22.42578125" style="71" customWidth="1"/>
    <col min="6" max="6" width="17" style="71" customWidth="1"/>
    <col min="7" max="7" width="18" style="71" customWidth="1"/>
    <col min="8" max="8" width="17" style="71" customWidth="1"/>
    <col min="9" max="10" width="19.140625" style="71" customWidth="1"/>
    <col min="11" max="11" width="20.28515625" style="71" customWidth="1"/>
    <col min="12" max="26" width="10" style="71" customWidth="1"/>
  </cols>
  <sheetData>
    <row r="1" spans="1:26" ht="12.75" customHeight="1" x14ac:dyDescent="0.2">
      <c r="A1" s="141" t="s">
        <v>269</v>
      </c>
    </row>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103" t="s">
        <v>167</v>
      </c>
      <c r="P7" s="12"/>
      <c r="Q7" s="12"/>
      <c r="R7" s="12"/>
      <c r="S7" s="12"/>
      <c r="T7" s="12"/>
      <c r="U7" s="12"/>
      <c r="V7" s="12"/>
      <c r="W7" s="12"/>
      <c r="X7" s="12"/>
      <c r="Y7" s="12"/>
      <c r="Z7" s="12"/>
    </row>
    <row r="8" spans="1:26" ht="102" customHeight="1" x14ac:dyDescent="0.2">
      <c r="A8" s="145" t="s">
        <v>168</v>
      </c>
      <c r="B8" s="146" t="s">
        <v>85</v>
      </c>
      <c r="C8" s="39"/>
      <c r="D8" s="105" t="s">
        <v>187</v>
      </c>
      <c r="E8" s="147" t="s">
        <v>280</v>
      </c>
      <c r="F8" s="148">
        <v>110000</v>
      </c>
      <c r="G8" s="148">
        <v>110000</v>
      </c>
      <c r="H8" s="149">
        <f>F8/3900</f>
        <v>28.205128205128204</v>
      </c>
      <c r="I8" s="150">
        <f>H8*3900</f>
        <v>110000</v>
      </c>
      <c r="J8" s="151" t="s">
        <v>171</v>
      </c>
      <c r="K8" s="147" t="s">
        <v>281</v>
      </c>
      <c r="L8" s="112" t="s">
        <v>173</v>
      </c>
    </row>
    <row r="9" spans="1:26" ht="108.75" customHeight="1" x14ac:dyDescent="0.2">
      <c r="A9" s="145" t="s">
        <v>174</v>
      </c>
      <c r="B9" s="146" t="s">
        <v>85</v>
      </c>
      <c r="C9" s="39"/>
      <c r="D9" s="105" t="s">
        <v>187</v>
      </c>
      <c r="E9" s="147" t="s">
        <v>282</v>
      </c>
      <c r="F9" s="148">
        <v>175000</v>
      </c>
      <c r="G9" s="148">
        <v>175000</v>
      </c>
      <c r="H9" s="149">
        <f>F9/3900</f>
        <v>44.871794871794869</v>
      </c>
      <c r="I9" s="150">
        <f>H9*3900</f>
        <v>175000</v>
      </c>
      <c r="J9" s="151" t="s">
        <v>171</v>
      </c>
      <c r="K9" s="147" t="s">
        <v>283</v>
      </c>
      <c r="L9" s="112" t="s">
        <v>190</v>
      </c>
    </row>
    <row r="10" spans="1:26" ht="119.25" customHeight="1" x14ac:dyDescent="0.2">
      <c r="A10" s="145" t="s">
        <v>179</v>
      </c>
      <c r="B10" s="146" t="s">
        <v>225</v>
      </c>
      <c r="C10" s="39"/>
      <c r="D10" s="105" t="s">
        <v>226</v>
      </c>
      <c r="E10" s="147" t="s">
        <v>284</v>
      </c>
      <c r="F10" s="148">
        <v>299900</v>
      </c>
      <c r="G10" s="148">
        <v>299900</v>
      </c>
      <c r="H10" s="149">
        <f>F10/3900</f>
        <v>76.897435897435898</v>
      </c>
      <c r="I10" s="150">
        <f>H10*3900</f>
        <v>299900</v>
      </c>
      <c r="J10" s="151" t="s">
        <v>171</v>
      </c>
      <c r="K10" s="147" t="s">
        <v>285</v>
      </c>
      <c r="L10" s="112" t="s">
        <v>195</v>
      </c>
      <c r="O10" s="38"/>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0C00-000000000000}"/>
    <hyperlink ref="D9" r:id="rId2" xr:uid="{00000000-0004-0000-0C00-000001000000}"/>
    <hyperlink ref="D10" r:id="rId3" xr:uid="{00000000-0004-0000-0C00-000002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10" workbookViewId="0"/>
  </sheetViews>
  <sheetFormatPr baseColWidth="10" defaultColWidth="12.5703125" defaultRowHeight="15" customHeight="1" x14ac:dyDescent="0.2"/>
  <cols>
    <col min="1" max="3" width="19.140625" style="71" customWidth="1"/>
    <col min="4" max="4" width="21.85546875" style="71" customWidth="1"/>
    <col min="5" max="5" width="34.140625" style="71" customWidth="1"/>
    <col min="6" max="6" width="21.85546875" style="71" customWidth="1"/>
    <col min="7" max="7" width="18" style="71" customWidth="1"/>
    <col min="8" max="8" width="17" style="71" customWidth="1"/>
    <col min="9" max="10" width="19.140625" style="71" customWidth="1"/>
    <col min="11" max="11" width="19.7109375" style="71" customWidth="1"/>
    <col min="12" max="26" width="10" style="71" customWidth="1"/>
  </cols>
  <sheetData>
    <row r="1" spans="1:26" ht="12.75" customHeight="1" x14ac:dyDescent="0.2"/>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103" t="s">
        <v>167</v>
      </c>
      <c r="M7" s="12"/>
      <c r="N7" s="12"/>
      <c r="O7" s="12"/>
      <c r="P7" s="12"/>
      <c r="Q7" s="12"/>
      <c r="R7" s="12"/>
      <c r="S7" s="12"/>
      <c r="T7" s="12"/>
      <c r="U7" s="12"/>
      <c r="V7" s="12"/>
      <c r="W7" s="12"/>
      <c r="X7" s="12"/>
      <c r="Y7" s="12"/>
      <c r="Z7" s="12"/>
    </row>
    <row r="8" spans="1:26" ht="94.5" customHeight="1" x14ac:dyDescent="0.2">
      <c r="A8" s="145" t="s">
        <v>168</v>
      </c>
      <c r="B8" s="146" t="s">
        <v>85</v>
      </c>
      <c r="C8" s="39"/>
      <c r="D8" s="105" t="s">
        <v>209</v>
      </c>
      <c r="E8" s="147" t="s">
        <v>286</v>
      </c>
      <c r="F8" s="148">
        <v>950000</v>
      </c>
      <c r="G8" s="148">
        <v>950000</v>
      </c>
      <c r="H8" s="149">
        <f>F8/3900</f>
        <v>243.58974358974359</v>
      </c>
      <c r="I8" s="150">
        <f>H8*3900</f>
        <v>950000</v>
      </c>
      <c r="J8" s="151" t="s">
        <v>171</v>
      </c>
      <c r="K8" s="147" t="s">
        <v>287</v>
      </c>
      <c r="L8" s="112" t="s">
        <v>212</v>
      </c>
    </row>
    <row r="9" spans="1:26" ht="110.25" customHeight="1" x14ac:dyDescent="0.2">
      <c r="A9" s="145" t="s">
        <v>174</v>
      </c>
      <c r="B9" s="146" t="s">
        <v>213</v>
      </c>
      <c r="C9" s="39"/>
      <c r="D9" s="105" t="s">
        <v>214</v>
      </c>
      <c r="E9" s="147" t="s">
        <v>288</v>
      </c>
      <c r="F9" s="148">
        <v>2737000</v>
      </c>
      <c r="G9" s="148">
        <v>2737000</v>
      </c>
      <c r="H9" s="149">
        <f>F9/3900</f>
        <v>701.79487179487182</v>
      </c>
      <c r="I9" s="150">
        <f>H9*3900</f>
        <v>2737000</v>
      </c>
      <c r="J9" s="151" t="s">
        <v>171</v>
      </c>
      <c r="K9" s="147" t="s">
        <v>289</v>
      </c>
      <c r="L9" s="112" t="s">
        <v>217</v>
      </c>
    </row>
    <row r="10" spans="1:26" ht="150.75" customHeight="1" x14ac:dyDescent="0.2">
      <c r="A10" s="145" t="s">
        <v>179</v>
      </c>
      <c r="B10" s="146" t="s">
        <v>218</v>
      </c>
      <c r="C10" s="39"/>
      <c r="D10" s="105" t="s">
        <v>187</v>
      </c>
      <c r="E10" s="147" t="s">
        <v>290</v>
      </c>
      <c r="F10" s="148">
        <v>3404348</v>
      </c>
      <c r="G10" s="148">
        <v>3404348</v>
      </c>
      <c r="H10" s="149">
        <f>F10/3900</f>
        <v>872.90974358974358</v>
      </c>
      <c r="I10" s="150">
        <f>H10*3900</f>
        <v>3404348</v>
      </c>
      <c r="J10" s="151" t="s">
        <v>171</v>
      </c>
      <c r="K10" s="147" t="s">
        <v>291</v>
      </c>
      <c r="L10" s="112" t="s">
        <v>195</v>
      </c>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0D00-000000000000}"/>
    <hyperlink ref="D9" r:id="rId2" xr:uid="{00000000-0004-0000-0D00-000001000000}"/>
    <hyperlink ref="D10" r:id="rId3" xr:uid="{00000000-0004-0000-0D00-000002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8" workbookViewId="0"/>
  </sheetViews>
  <sheetFormatPr baseColWidth="10" defaultColWidth="12.5703125" defaultRowHeight="15" customHeight="1" x14ac:dyDescent="0.2"/>
  <cols>
    <col min="1" max="3" width="19.140625" style="71" customWidth="1"/>
    <col min="4" max="4" width="21.85546875" style="71" customWidth="1"/>
    <col min="5" max="5" width="22.28515625" style="71" customWidth="1"/>
    <col min="6" max="6" width="17" style="71" customWidth="1"/>
    <col min="7" max="7" width="18" style="71" customWidth="1"/>
    <col min="8" max="8" width="17" style="71" customWidth="1"/>
    <col min="9" max="10" width="19.140625" style="71" customWidth="1"/>
    <col min="11" max="11" width="18.85546875" style="71" customWidth="1"/>
    <col min="12" max="26" width="10" style="71" customWidth="1"/>
  </cols>
  <sheetData>
    <row r="1" spans="1:26" ht="12.75" customHeight="1" x14ac:dyDescent="0.2"/>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103" t="s">
        <v>167</v>
      </c>
      <c r="M7" s="12"/>
      <c r="N7" s="12"/>
      <c r="O7" s="12"/>
      <c r="P7" s="12"/>
      <c r="Q7" s="12"/>
      <c r="R7" s="12"/>
      <c r="S7" s="12"/>
      <c r="T7" s="12"/>
      <c r="U7" s="12"/>
      <c r="V7" s="12"/>
      <c r="W7" s="12"/>
      <c r="X7" s="12"/>
      <c r="Y7" s="12"/>
      <c r="Z7" s="12"/>
    </row>
    <row r="8" spans="1:26" ht="108.75" customHeight="1" x14ac:dyDescent="0.2">
      <c r="A8" s="145" t="s">
        <v>168</v>
      </c>
      <c r="B8" s="146" t="s">
        <v>85</v>
      </c>
      <c r="C8" s="39"/>
      <c r="D8" s="105" t="s">
        <v>232</v>
      </c>
      <c r="E8" s="147" t="s">
        <v>292</v>
      </c>
      <c r="F8" s="148">
        <v>190000</v>
      </c>
      <c r="G8" s="148">
        <v>190000</v>
      </c>
      <c r="H8" s="149">
        <f>F8/3900</f>
        <v>48.717948717948715</v>
      </c>
      <c r="I8" s="150">
        <f>H8*3900</f>
        <v>190000</v>
      </c>
      <c r="J8" s="151" t="s">
        <v>171</v>
      </c>
      <c r="K8" s="147" t="s">
        <v>293</v>
      </c>
      <c r="L8" s="112" t="s">
        <v>190</v>
      </c>
    </row>
    <row r="9" spans="1:26" ht="90.75" customHeight="1" x14ac:dyDescent="0.2">
      <c r="A9" s="145" t="s">
        <v>174</v>
      </c>
      <c r="B9" s="146" t="s">
        <v>105</v>
      </c>
      <c r="C9" s="39"/>
      <c r="D9" s="105" t="s">
        <v>229</v>
      </c>
      <c r="E9" s="147" t="s">
        <v>294</v>
      </c>
      <c r="F9" s="148">
        <v>140000</v>
      </c>
      <c r="G9" s="148">
        <v>140000</v>
      </c>
      <c r="H9" s="149">
        <f>F9/3900</f>
        <v>35.897435897435898</v>
      </c>
      <c r="I9" s="150">
        <f>H9*3900</f>
        <v>140000</v>
      </c>
      <c r="J9" s="151" t="s">
        <v>171</v>
      </c>
      <c r="K9" s="105" t="s">
        <v>295</v>
      </c>
      <c r="L9" s="112" t="s">
        <v>195</v>
      </c>
    </row>
    <row r="10" spans="1:26" ht="126" customHeight="1" x14ac:dyDescent="0.2">
      <c r="A10" s="145" t="s">
        <v>179</v>
      </c>
      <c r="B10" s="146" t="s">
        <v>85</v>
      </c>
      <c r="C10" s="39"/>
      <c r="D10" s="105" t="s">
        <v>296</v>
      </c>
      <c r="E10" s="147" t="s">
        <v>297</v>
      </c>
      <c r="F10" s="148">
        <v>320000</v>
      </c>
      <c r="G10" s="148">
        <v>320000</v>
      </c>
      <c r="H10" s="149">
        <f>F10/3900</f>
        <v>82.051282051282058</v>
      </c>
      <c r="I10" s="150">
        <f>H10*3900</f>
        <v>320000</v>
      </c>
      <c r="J10" s="151" t="s">
        <v>171</v>
      </c>
      <c r="K10" s="105" t="s">
        <v>298</v>
      </c>
      <c r="L10" s="112" t="s">
        <v>173</v>
      </c>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0E00-000000000000}"/>
    <hyperlink ref="D9" r:id="rId2" xr:uid="{00000000-0004-0000-0E00-000001000000}"/>
    <hyperlink ref="K9" r:id="rId3" xr:uid="{00000000-0004-0000-0E00-000002000000}"/>
    <hyperlink ref="D10" r:id="rId4" xr:uid="{00000000-0004-0000-0E00-000003000000}"/>
    <hyperlink ref="K10" r:id="rId5" xr:uid="{00000000-0004-0000-0E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9" workbookViewId="0"/>
  </sheetViews>
  <sheetFormatPr baseColWidth="10" defaultColWidth="12.5703125" defaultRowHeight="15" customHeight="1" x14ac:dyDescent="0.2"/>
  <cols>
    <col min="1" max="3" width="19.140625" style="71" customWidth="1"/>
    <col min="4" max="4" width="21.85546875" style="71" customWidth="1"/>
    <col min="5" max="5" width="31.85546875" style="71" customWidth="1"/>
    <col min="6" max="6" width="17" style="71" customWidth="1"/>
    <col min="7" max="7" width="18" style="71" customWidth="1"/>
    <col min="8" max="8" width="17" style="71" customWidth="1"/>
    <col min="9" max="10" width="19.140625" style="71" customWidth="1"/>
    <col min="11" max="11" width="20.28515625" style="71" customWidth="1"/>
    <col min="12" max="26" width="10" style="71" customWidth="1"/>
  </cols>
  <sheetData>
    <row r="1" spans="1:26" ht="12.75" customHeight="1" x14ac:dyDescent="0.2">
      <c r="E1" s="40"/>
    </row>
    <row r="2" spans="1:26" ht="27.75" customHeight="1" x14ac:dyDescent="0.2">
      <c r="D2" s="175" t="s">
        <v>154</v>
      </c>
      <c r="E2" s="176"/>
      <c r="F2" s="176"/>
      <c r="G2" s="176"/>
      <c r="H2" s="176"/>
    </row>
    <row r="3" spans="1:26" ht="12.75" customHeight="1" x14ac:dyDescent="0.2">
      <c r="E3" s="40"/>
    </row>
    <row r="4" spans="1:26" ht="12.75" customHeight="1" x14ac:dyDescent="0.2">
      <c r="E4" s="40"/>
    </row>
    <row r="5" spans="1:26" ht="43.5" customHeight="1" x14ac:dyDescent="0.2">
      <c r="A5" s="178" t="s">
        <v>155</v>
      </c>
      <c r="B5" s="172"/>
      <c r="C5" s="172"/>
      <c r="D5" s="172"/>
      <c r="E5" s="172"/>
      <c r="F5" s="172"/>
      <c r="G5" s="172"/>
      <c r="H5" s="172"/>
      <c r="I5" s="172"/>
      <c r="J5" s="173"/>
    </row>
    <row r="6" spans="1:26" ht="15.75" customHeight="1" x14ac:dyDescent="0.2">
      <c r="E6" s="40"/>
    </row>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103" t="s">
        <v>167</v>
      </c>
      <c r="M7" s="12"/>
      <c r="N7" s="12"/>
      <c r="O7" s="12"/>
      <c r="P7" s="12"/>
      <c r="Q7" s="12"/>
      <c r="R7" s="12"/>
      <c r="S7" s="12"/>
      <c r="T7" s="12"/>
      <c r="U7" s="12"/>
      <c r="V7" s="12"/>
      <c r="W7" s="12"/>
      <c r="X7" s="12"/>
      <c r="Y7" s="12"/>
      <c r="Z7" s="12"/>
    </row>
    <row r="8" spans="1:26" ht="106.5" customHeight="1" x14ac:dyDescent="0.2">
      <c r="A8" s="145" t="s">
        <v>168</v>
      </c>
      <c r="B8" s="146" t="s">
        <v>85</v>
      </c>
      <c r="C8" s="39"/>
      <c r="D8" s="105" t="s">
        <v>299</v>
      </c>
      <c r="E8" s="147" t="s">
        <v>300</v>
      </c>
      <c r="F8" s="148">
        <v>315317</v>
      </c>
      <c r="G8" s="148">
        <v>315317</v>
      </c>
      <c r="H8" s="149">
        <f>F8/3900</f>
        <v>80.850512820512819</v>
      </c>
      <c r="I8" s="150">
        <f>H8*3900</f>
        <v>315317</v>
      </c>
      <c r="J8" s="151" t="s">
        <v>171</v>
      </c>
      <c r="K8" s="105" t="s">
        <v>301</v>
      </c>
      <c r="L8" s="112" t="s">
        <v>173</v>
      </c>
    </row>
    <row r="9" spans="1:26" ht="132.75" customHeight="1" x14ac:dyDescent="0.2">
      <c r="A9" s="145" t="s">
        <v>174</v>
      </c>
      <c r="B9" s="146" t="s">
        <v>85</v>
      </c>
      <c r="C9" s="39"/>
      <c r="D9" s="105" t="s">
        <v>187</v>
      </c>
      <c r="E9" s="147" t="s">
        <v>302</v>
      </c>
      <c r="F9" s="148">
        <v>357346</v>
      </c>
      <c r="G9" s="148">
        <v>357346</v>
      </c>
      <c r="H9" s="149">
        <f>F9/3900</f>
        <v>91.62717948717949</v>
      </c>
      <c r="I9" s="150">
        <f>H9*3900</f>
        <v>357346</v>
      </c>
      <c r="J9" s="151" t="s">
        <v>171</v>
      </c>
      <c r="K9" s="105" t="s">
        <v>303</v>
      </c>
      <c r="L9" s="112" t="s">
        <v>173</v>
      </c>
    </row>
    <row r="10" spans="1:26" ht="123" customHeight="1" x14ac:dyDescent="0.2">
      <c r="A10" s="145" t="s">
        <v>179</v>
      </c>
      <c r="B10" s="146" t="s">
        <v>304</v>
      </c>
      <c r="C10" s="39"/>
      <c r="D10" s="105" t="s">
        <v>305</v>
      </c>
      <c r="E10" s="147" t="s">
        <v>306</v>
      </c>
      <c r="F10" s="148">
        <v>933900</v>
      </c>
      <c r="G10" s="148">
        <v>933900</v>
      </c>
      <c r="H10" s="149">
        <f>F10/3900</f>
        <v>239.46153846153845</v>
      </c>
      <c r="I10" s="150">
        <f>H10*3900</f>
        <v>933900</v>
      </c>
      <c r="J10" s="151" t="s">
        <v>171</v>
      </c>
      <c r="K10" s="105" t="s">
        <v>307</v>
      </c>
      <c r="L10" s="112" t="s">
        <v>195</v>
      </c>
    </row>
    <row r="11" spans="1:26" hidden="1" x14ac:dyDescent="0.2">
      <c r="A11" s="17"/>
      <c r="B11" s="29"/>
      <c r="C11" s="29"/>
      <c r="D11" s="29"/>
      <c r="E11" s="29"/>
      <c r="F11" s="29"/>
      <c r="G11" s="29"/>
      <c r="H11" s="29"/>
      <c r="I11" s="29"/>
      <c r="J11" s="29"/>
    </row>
    <row r="12" spans="1:26" ht="12.75" customHeight="1" x14ac:dyDescent="0.2">
      <c r="E12" s="40"/>
    </row>
    <row r="13" spans="1:26" ht="138.75" customHeight="1" x14ac:dyDescent="0.2">
      <c r="A13" s="177" t="s">
        <v>184</v>
      </c>
      <c r="B13" s="172"/>
      <c r="C13" s="172"/>
      <c r="D13" s="172"/>
      <c r="E13" s="172"/>
      <c r="F13" s="172"/>
      <c r="G13" s="172"/>
      <c r="H13" s="172"/>
      <c r="I13" s="172"/>
      <c r="J13" s="173"/>
    </row>
    <row r="14" spans="1:26" ht="12.75" customHeight="1" x14ac:dyDescent="0.2">
      <c r="E14" s="40"/>
    </row>
    <row r="15" spans="1:26" ht="75" customHeight="1" x14ac:dyDescent="0.2">
      <c r="A15" s="171" t="s">
        <v>185</v>
      </c>
      <c r="B15" s="172"/>
      <c r="C15" s="172"/>
      <c r="D15" s="172"/>
      <c r="E15" s="172"/>
      <c r="F15" s="172"/>
      <c r="G15" s="172"/>
      <c r="H15" s="172"/>
      <c r="I15" s="172"/>
      <c r="J15" s="173"/>
    </row>
    <row r="16" spans="1:26" ht="12.75" customHeight="1" x14ac:dyDescent="0.2">
      <c r="E16" s="40"/>
    </row>
    <row r="17" spans="4:7" ht="12.75" customHeight="1" x14ac:dyDescent="0.2">
      <c r="E17" s="40"/>
    </row>
    <row r="18" spans="4:7" ht="12.75" customHeight="1" x14ac:dyDescent="0.2">
      <c r="E18" s="40"/>
    </row>
    <row r="19" spans="4:7" ht="12.75" customHeight="1" x14ac:dyDescent="0.2">
      <c r="E19" s="40"/>
    </row>
    <row r="20" spans="4:7" ht="12.75" customHeight="1" x14ac:dyDescent="0.2">
      <c r="E20" s="40"/>
    </row>
    <row r="21" spans="4:7" ht="12.75" customHeight="1" x14ac:dyDescent="0.2">
      <c r="E21" s="40"/>
    </row>
    <row r="22" spans="4:7" ht="12.75" customHeight="1" x14ac:dyDescent="0.2">
      <c r="E22" s="40"/>
    </row>
    <row r="23" spans="4:7" ht="12.75" customHeight="1" x14ac:dyDescent="0.2">
      <c r="E23" s="40"/>
    </row>
    <row r="24" spans="4:7" ht="12.75" customHeight="1" x14ac:dyDescent="0.2">
      <c r="E24" s="40"/>
    </row>
    <row r="25" spans="4:7" ht="12.75" customHeight="1" x14ac:dyDescent="0.2">
      <c r="E25" s="40"/>
    </row>
    <row r="26" spans="4:7" ht="12.75" customHeight="1" x14ac:dyDescent="0.2">
      <c r="D26" s="20"/>
      <c r="E26" s="20"/>
      <c r="F26" s="8"/>
      <c r="G26" s="8"/>
    </row>
    <row r="27" spans="4:7" ht="12.75" customHeight="1" x14ac:dyDescent="0.2">
      <c r="E27" s="40"/>
    </row>
    <row r="28" spans="4:7" ht="12.75" customHeight="1" x14ac:dyDescent="0.2">
      <c r="E28" s="40"/>
    </row>
    <row r="29" spans="4:7" ht="12.75" customHeight="1" x14ac:dyDescent="0.2">
      <c r="E29" s="40"/>
    </row>
    <row r="30" spans="4:7" ht="12.75" customHeight="1" x14ac:dyDescent="0.2">
      <c r="E30" s="40"/>
    </row>
    <row r="31" spans="4:7" ht="12.75" customHeight="1" x14ac:dyDescent="0.2">
      <c r="E31" s="40"/>
    </row>
    <row r="32" spans="4:7" ht="12.75" customHeight="1" x14ac:dyDescent="0.2">
      <c r="E32" s="40"/>
    </row>
    <row r="33" spans="5:5" ht="12.75" customHeight="1" x14ac:dyDescent="0.2">
      <c r="E33" s="40"/>
    </row>
    <row r="34" spans="5:5" ht="12.75" customHeight="1" x14ac:dyDescent="0.2">
      <c r="E34" s="40"/>
    </row>
    <row r="35" spans="5:5" ht="12.75" customHeight="1" x14ac:dyDescent="0.2">
      <c r="E35" s="40"/>
    </row>
    <row r="36" spans="5:5" ht="12.75" customHeight="1" x14ac:dyDescent="0.2">
      <c r="E36" s="40"/>
    </row>
    <row r="37" spans="5:5" ht="12.75" customHeight="1" x14ac:dyDescent="0.2">
      <c r="E37" s="40"/>
    </row>
    <row r="38" spans="5:5" ht="12.75" customHeight="1" x14ac:dyDescent="0.2">
      <c r="E38" s="40"/>
    </row>
    <row r="39" spans="5:5" ht="12.75" customHeight="1" x14ac:dyDescent="0.2">
      <c r="E39" s="40"/>
    </row>
    <row r="40" spans="5:5" ht="12.75" customHeight="1" x14ac:dyDescent="0.2">
      <c r="E40" s="40"/>
    </row>
    <row r="41" spans="5:5" ht="12.75" customHeight="1" x14ac:dyDescent="0.2">
      <c r="E41" s="40"/>
    </row>
    <row r="42" spans="5:5" ht="12.75" customHeight="1" x14ac:dyDescent="0.2">
      <c r="E42" s="40"/>
    </row>
    <row r="43" spans="5:5" ht="12.75" customHeight="1" x14ac:dyDescent="0.2">
      <c r="E43" s="40"/>
    </row>
    <row r="44" spans="5:5" ht="12.75" customHeight="1" x14ac:dyDescent="0.2">
      <c r="E44" s="40"/>
    </row>
    <row r="45" spans="5:5" ht="12.75" customHeight="1" x14ac:dyDescent="0.2">
      <c r="E45" s="40"/>
    </row>
    <row r="46" spans="5:5" ht="12.75" customHeight="1" x14ac:dyDescent="0.2">
      <c r="E46" s="40"/>
    </row>
    <row r="47" spans="5:5" ht="12.75" customHeight="1" x14ac:dyDescent="0.2">
      <c r="E47" s="40"/>
    </row>
    <row r="48" spans="5:5" ht="12.75" customHeight="1" x14ac:dyDescent="0.2">
      <c r="E48" s="40"/>
    </row>
    <row r="49" spans="5:5" ht="12.75" customHeight="1" x14ac:dyDescent="0.2">
      <c r="E49" s="40"/>
    </row>
    <row r="50" spans="5:5" ht="12.75" customHeight="1" x14ac:dyDescent="0.2">
      <c r="E50" s="40"/>
    </row>
    <row r="51" spans="5:5" ht="12.75" customHeight="1" x14ac:dyDescent="0.2">
      <c r="E51" s="40"/>
    </row>
    <row r="52" spans="5:5" ht="12.75" customHeight="1" x14ac:dyDescent="0.2">
      <c r="E52" s="40"/>
    </row>
    <row r="53" spans="5:5" ht="12.75" customHeight="1" x14ac:dyDescent="0.2">
      <c r="E53" s="40"/>
    </row>
    <row r="54" spans="5:5" ht="12.75" customHeight="1" x14ac:dyDescent="0.2">
      <c r="E54" s="40"/>
    </row>
    <row r="55" spans="5:5" ht="12.75" customHeight="1" x14ac:dyDescent="0.2">
      <c r="E55" s="40"/>
    </row>
    <row r="56" spans="5:5" ht="12.75" customHeight="1" x14ac:dyDescent="0.2">
      <c r="E56" s="40"/>
    </row>
    <row r="57" spans="5:5" ht="12.75" customHeight="1" x14ac:dyDescent="0.2">
      <c r="E57" s="40"/>
    </row>
    <row r="58" spans="5:5" ht="12.75" customHeight="1" x14ac:dyDescent="0.2">
      <c r="E58" s="40"/>
    </row>
    <row r="59" spans="5:5" ht="12.75" customHeight="1" x14ac:dyDescent="0.2">
      <c r="E59" s="40"/>
    </row>
    <row r="60" spans="5:5" ht="12.75" customHeight="1" x14ac:dyDescent="0.2">
      <c r="E60" s="40"/>
    </row>
    <row r="61" spans="5:5" ht="12.75" customHeight="1" x14ac:dyDescent="0.2">
      <c r="E61" s="40"/>
    </row>
    <row r="62" spans="5:5" ht="12.75" customHeight="1" x14ac:dyDescent="0.2">
      <c r="E62" s="40"/>
    </row>
    <row r="63" spans="5:5" ht="12.75" customHeight="1" x14ac:dyDescent="0.2">
      <c r="E63" s="40"/>
    </row>
    <row r="64" spans="5:5" ht="12.75" customHeight="1" x14ac:dyDescent="0.2">
      <c r="E64" s="40"/>
    </row>
    <row r="65" spans="5:5" ht="12.75" customHeight="1" x14ac:dyDescent="0.2">
      <c r="E65" s="40"/>
    </row>
    <row r="66" spans="5:5" ht="12.75" customHeight="1" x14ac:dyDescent="0.2">
      <c r="E66" s="40"/>
    </row>
    <row r="67" spans="5:5" ht="12.75" customHeight="1" x14ac:dyDescent="0.2">
      <c r="E67" s="40"/>
    </row>
    <row r="68" spans="5:5" ht="12.75" customHeight="1" x14ac:dyDescent="0.2">
      <c r="E68" s="40"/>
    </row>
    <row r="69" spans="5:5" ht="12.75" customHeight="1" x14ac:dyDescent="0.2">
      <c r="E69" s="40"/>
    </row>
    <row r="70" spans="5:5" ht="12.75" customHeight="1" x14ac:dyDescent="0.2">
      <c r="E70" s="40"/>
    </row>
    <row r="71" spans="5:5" ht="12.75" customHeight="1" x14ac:dyDescent="0.2">
      <c r="E71" s="40"/>
    </row>
    <row r="72" spans="5:5" ht="12.75" customHeight="1" x14ac:dyDescent="0.2">
      <c r="E72" s="40"/>
    </row>
    <row r="73" spans="5:5" ht="12.75" customHeight="1" x14ac:dyDescent="0.2">
      <c r="E73" s="40"/>
    </row>
    <row r="74" spans="5:5" ht="12.75" customHeight="1" x14ac:dyDescent="0.2">
      <c r="E74" s="40"/>
    </row>
    <row r="75" spans="5:5" ht="12.75" customHeight="1" x14ac:dyDescent="0.2">
      <c r="E75" s="40"/>
    </row>
    <row r="76" spans="5:5" ht="12.75" customHeight="1" x14ac:dyDescent="0.2">
      <c r="E76" s="40"/>
    </row>
    <row r="77" spans="5:5" ht="12.75" customHeight="1" x14ac:dyDescent="0.2">
      <c r="E77" s="40"/>
    </row>
    <row r="78" spans="5:5" ht="12.75" customHeight="1" x14ac:dyDescent="0.2">
      <c r="E78" s="40"/>
    </row>
    <row r="79" spans="5:5" ht="12.75" customHeight="1" x14ac:dyDescent="0.2">
      <c r="E79" s="40"/>
    </row>
    <row r="80" spans="5:5" ht="12.75" customHeight="1" x14ac:dyDescent="0.2">
      <c r="E80" s="40"/>
    </row>
    <row r="81" spans="5:5" ht="12.75" customHeight="1" x14ac:dyDescent="0.2">
      <c r="E81" s="40"/>
    </row>
    <row r="82" spans="5:5" ht="12.75" customHeight="1" x14ac:dyDescent="0.2">
      <c r="E82" s="40"/>
    </row>
    <row r="83" spans="5:5" ht="12.75" customHeight="1" x14ac:dyDescent="0.2">
      <c r="E83" s="40"/>
    </row>
    <row r="84" spans="5:5" ht="12.75" customHeight="1" x14ac:dyDescent="0.2">
      <c r="E84" s="40"/>
    </row>
    <row r="85" spans="5:5" ht="12.75" customHeight="1" x14ac:dyDescent="0.2">
      <c r="E85" s="40"/>
    </row>
    <row r="86" spans="5:5" ht="12.75" customHeight="1" x14ac:dyDescent="0.2">
      <c r="E86" s="40"/>
    </row>
    <row r="87" spans="5:5" ht="12.75" customHeight="1" x14ac:dyDescent="0.2">
      <c r="E87" s="40"/>
    </row>
    <row r="88" spans="5:5" ht="12.75" customHeight="1" x14ac:dyDescent="0.2">
      <c r="E88" s="40"/>
    </row>
    <row r="89" spans="5:5" ht="12.75" customHeight="1" x14ac:dyDescent="0.2">
      <c r="E89" s="40"/>
    </row>
    <row r="90" spans="5:5" ht="12.75" customHeight="1" x14ac:dyDescent="0.2">
      <c r="E90" s="40"/>
    </row>
    <row r="91" spans="5:5" ht="12.75" customHeight="1" x14ac:dyDescent="0.2">
      <c r="E91" s="40"/>
    </row>
    <row r="92" spans="5:5" ht="12.75" customHeight="1" x14ac:dyDescent="0.2">
      <c r="E92" s="40"/>
    </row>
    <row r="93" spans="5:5" ht="12.75" customHeight="1" x14ac:dyDescent="0.2">
      <c r="E93" s="40"/>
    </row>
    <row r="94" spans="5:5" ht="12.75" customHeight="1" x14ac:dyDescent="0.2">
      <c r="E94" s="40"/>
    </row>
    <row r="95" spans="5:5" ht="12.75" customHeight="1" x14ac:dyDescent="0.2">
      <c r="E95" s="40"/>
    </row>
    <row r="96" spans="5:5" ht="12.75" customHeight="1" x14ac:dyDescent="0.2">
      <c r="E96" s="40"/>
    </row>
    <row r="97" spans="5:5" ht="12.75" customHeight="1" x14ac:dyDescent="0.2">
      <c r="E97" s="40"/>
    </row>
    <row r="98" spans="5:5" ht="12.75" customHeight="1" x14ac:dyDescent="0.2">
      <c r="E98" s="40"/>
    </row>
    <row r="99" spans="5:5" ht="12.75" customHeight="1" x14ac:dyDescent="0.2">
      <c r="E99" s="40"/>
    </row>
    <row r="100" spans="5:5" ht="12.75" customHeight="1" x14ac:dyDescent="0.2">
      <c r="E100" s="40"/>
    </row>
    <row r="101" spans="5:5" ht="12.75" customHeight="1" x14ac:dyDescent="0.2">
      <c r="E101" s="40"/>
    </row>
    <row r="102" spans="5:5" ht="12.75" customHeight="1" x14ac:dyDescent="0.2">
      <c r="E102" s="40"/>
    </row>
    <row r="103" spans="5:5" ht="12.75" customHeight="1" x14ac:dyDescent="0.2">
      <c r="E103" s="40"/>
    </row>
    <row r="104" spans="5:5" ht="12.75" customHeight="1" x14ac:dyDescent="0.2">
      <c r="E104" s="40"/>
    </row>
    <row r="105" spans="5:5" ht="12.75" customHeight="1" x14ac:dyDescent="0.2">
      <c r="E105" s="40"/>
    </row>
    <row r="106" spans="5:5" ht="12.75" customHeight="1" x14ac:dyDescent="0.2">
      <c r="E106" s="40"/>
    </row>
    <row r="107" spans="5:5" ht="12.75" customHeight="1" x14ac:dyDescent="0.2">
      <c r="E107" s="40"/>
    </row>
    <row r="108" spans="5:5" ht="12.75" customHeight="1" x14ac:dyDescent="0.2">
      <c r="E108" s="40"/>
    </row>
    <row r="109" spans="5:5" ht="12.75" customHeight="1" x14ac:dyDescent="0.2">
      <c r="E109" s="40"/>
    </row>
    <row r="110" spans="5:5" ht="12.75" customHeight="1" x14ac:dyDescent="0.2">
      <c r="E110" s="40"/>
    </row>
    <row r="111" spans="5:5" ht="12.75" customHeight="1" x14ac:dyDescent="0.2">
      <c r="E111" s="40"/>
    </row>
    <row r="112" spans="5:5" ht="12.75" customHeight="1" x14ac:dyDescent="0.2">
      <c r="E112" s="40"/>
    </row>
    <row r="113" spans="5:5" ht="12.75" customHeight="1" x14ac:dyDescent="0.2">
      <c r="E113" s="40"/>
    </row>
    <row r="114" spans="5:5" ht="12.75" customHeight="1" x14ac:dyDescent="0.2">
      <c r="E114" s="40"/>
    </row>
    <row r="115" spans="5:5" ht="12.75" customHeight="1" x14ac:dyDescent="0.2">
      <c r="E115" s="40"/>
    </row>
    <row r="116" spans="5:5" ht="12.75" customHeight="1" x14ac:dyDescent="0.2">
      <c r="E116" s="40"/>
    </row>
    <row r="117" spans="5:5" ht="12.75" customHeight="1" x14ac:dyDescent="0.2">
      <c r="E117" s="40"/>
    </row>
    <row r="118" spans="5:5" ht="12.75" customHeight="1" x14ac:dyDescent="0.2">
      <c r="E118" s="40"/>
    </row>
    <row r="119" spans="5:5" ht="12.75" customHeight="1" x14ac:dyDescent="0.2">
      <c r="E119" s="40"/>
    </row>
    <row r="120" spans="5:5" ht="12.75" customHeight="1" x14ac:dyDescent="0.2">
      <c r="E120" s="40"/>
    </row>
    <row r="121" spans="5:5" ht="12.75" customHeight="1" x14ac:dyDescent="0.2">
      <c r="E121" s="40"/>
    </row>
    <row r="122" spans="5:5" ht="12.75" customHeight="1" x14ac:dyDescent="0.2">
      <c r="E122" s="40"/>
    </row>
    <row r="123" spans="5:5" ht="12.75" customHeight="1" x14ac:dyDescent="0.2">
      <c r="E123" s="40"/>
    </row>
    <row r="124" spans="5:5" ht="12.75" customHeight="1" x14ac:dyDescent="0.2">
      <c r="E124" s="40"/>
    </row>
    <row r="125" spans="5:5" ht="12.75" customHeight="1" x14ac:dyDescent="0.2">
      <c r="E125" s="40"/>
    </row>
    <row r="126" spans="5:5" ht="12.75" customHeight="1" x14ac:dyDescent="0.2">
      <c r="E126" s="40"/>
    </row>
    <row r="127" spans="5:5" ht="12.75" customHeight="1" x14ac:dyDescent="0.2">
      <c r="E127" s="40"/>
    </row>
    <row r="128" spans="5:5" ht="12.75" customHeight="1" x14ac:dyDescent="0.2">
      <c r="E128" s="40"/>
    </row>
    <row r="129" spans="5:5" ht="12.75" customHeight="1" x14ac:dyDescent="0.2">
      <c r="E129" s="40"/>
    </row>
    <row r="130" spans="5:5" ht="12.75" customHeight="1" x14ac:dyDescent="0.2">
      <c r="E130" s="40"/>
    </row>
    <row r="131" spans="5:5" ht="12.75" customHeight="1" x14ac:dyDescent="0.2">
      <c r="E131" s="40"/>
    </row>
    <row r="132" spans="5:5" ht="12.75" customHeight="1" x14ac:dyDescent="0.2">
      <c r="E132" s="40"/>
    </row>
    <row r="133" spans="5:5" ht="12.75" customHeight="1" x14ac:dyDescent="0.2">
      <c r="E133" s="40"/>
    </row>
    <row r="134" spans="5:5" ht="12.75" customHeight="1" x14ac:dyDescent="0.2">
      <c r="E134" s="40"/>
    </row>
    <row r="135" spans="5:5" ht="12.75" customHeight="1" x14ac:dyDescent="0.2">
      <c r="E135" s="40"/>
    </row>
    <row r="136" spans="5:5" ht="12.75" customHeight="1" x14ac:dyDescent="0.2">
      <c r="E136" s="40"/>
    </row>
    <row r="137" spans="5:5" ht="12.75" customHeight="1" x14ac:dyDescent="0.2">
      <c r="E137" s="40"/>
    </row>
    <row r="138" spans="5:5" ht="12.75" customHeight="1" x14ac:dyDescent="0.2">
      <c r="E138" s="40"/>
    </row>
    <row r="139" spans="5:5" ht="12.75" customHeight="1" x14ac:dyDescent="0.2">
      <c r="E139" s="40"/>
    </row>
    <row r="140" spans="5:5" ht="12.75" customHeight="1" x14ac:dyDescent="0.2">
      <c r="E140" s="40"/>
    </row>
    <row r="141" spans="5:5" ht="12.75" customHeight="1" x14ac:dyDescent="0.2">
      <c r="E141" s="40"/>
    </row>
    <row r="142" spans="5:5" ht="12.75" customHeight="1" x14ac:dyDescent="0.2">
      <c r="E142" s="40"/>
    </row>
    <row r="143" spans="5:5" ht="12.75" customHeight="1" x14ac:dyDescent="0.2">
      <c r="E143" s="40"/>
    </row>
    <row r="144" spans="5:5" ht="12.75" customHeight="1" x14ac:dyDescent="0.2">
      <c r="E144" s="40"/>
    </row>
    <row r="145" spans="5:5" ht="12.75" customHeight="1" x14ac:dyDescent="0.2">
      <c r="E145" s="40"/>
    </row>
    <row r="146" spans="5:5" ht="12.75" customHeight="1" x14ac:dyDescent="0.2">
      <c r="E146" s="40"/>
    </row>
    <row r="147" spans="5:5" ht="12.75" customHeight="1" x14ac:dyDescent="0.2">
      <c r="E147" s="40"/>
    </row>
    <row r="148" spans="5:5" ht="12.75" customHeight="1" x14ac:dyDescent="0.2">
      <c r="E148" s="40"/>
    </row>
    <row r="149" spans="5:5" ht="12.75" customHeight="1" x14ac:dyDescent="0.2">
      <c r="E149" s="40"/>
    </row>
    <row r="150" spans="5:5" ht="12.75" customHeight="1" x14ac:dyDescent="0.2">
      <c r="E150" s="40"/>
    </row>
    <row r="151" spans="5:5" ht="12.75" customHeight="1" x14ac:dyDescent="0.2">
      <c r="E151" s="40"/>
    </row>
    <row r="152" spans="5:5" ht="12.75" customHeight="1" x14ac:dyDescent="0.2">
      <c r="E152" s="40"/>
    </row>
    <row r="153" spans="5:5" ht="12.75" customHeight="1" x14ac:dyDescent="0.2">
      <c r="E153" s="40"/>
    </row>
    <row r="154" spans="5:5" ht="12.75" customHeight="1" x14ac:dyDescent="0.2">
      <c r="E154" s="40"/>
    </row>
    <row r="155" spans="5:5" ht="12.75" customHeight="1" x14ac:dyDescent="0.2">
      <c r="E155" s="40"/>
    </row>
    <row r="156" spans="5:5" ht="12.75" customHeight="1" x14ac:dyDescent="0.2">
      <c r="E156" s="40"/>
    </row>
    <row r="157" spans="5:5" ht="12.75" customHeight="1" x14ac:dyDescent="0.2">
      <c r="E157" s="40"/>
    </row>
    <row r="158" spans="5:5" ht="12.75" customHeight="1" x14ac:dyDescent="0.2">
      <c r="E158" s="40"/>
    </row>
    <row r="159" spans="5:5" ht="12.75" customHeight="1" x14ac:dyDescent="0.2">
      <c r="E159" s="40"/>
    </row>
    <row r="160" spans="5:5" ht="12.75" customHeight="1" x14ac:dyDescent="0.2">
      <c r="E160" s="40"/>
    </row>
    <row r="161" spans="5:5" ht="12.75" customHeight="1" x14ac:dyDescent="0.2">
      <c r="E161" s="40"/>
    </row>
    <row r="162" spans="5:5" ht="12.75" customHeight="1" x14ac:dyDescent="0.2">
      <c r="E162" s="40"/>
    </row>
    <row r="163" spans="5:5" ht="12.75" customHeight="1" x14ac:dyDescent="0.2">
      <c r="E163" s="40"/>
    </row>
    <row r="164" spans="5:5" ht="12.75" customHeight="1" x14ac:dyDescent="0.2">
      <c r="E164" s="40"/>
    </row>
    <row r="165" spans="5:5" ht="12.75" customHeight="1" x14ac:dyDescent="0.2">
      <c r="E165" s="40"/>
    </row>
    <row r="166" spans="5:5" ht="12.75" customHeight="1" x14ac:dyDescent="0.2">
      <c r="E166" s="40"/>
    </row>
    <row r="167" spans="5:5" ht="12.75" customHeight="1" x14ac:dyDescent="0.2">
      <c r="E167" s="40"/>
    </row>
    <row r="168" spans="5:5" ht="12.75" customHeight="1" x14ac:dyDescent="0.2">
      <c r="E168" s="40"/>
    </row>
    <row r="169" spans="5:5" ht="12.75" customHeight="1" x14ac:dyDescent="0.2">
      <c r="E169" s="40"/>
    </row>
    <row r="170" spans="5:5" ht="12.75" customHeight="1" x14ac:dyDescent="0.2">
      <c r="E170" s="40"/>
    </row>
    <row r="171" spans="5:5" ht="12.75" customHeight="1" x14ac:dyDescent="0.2">
      <c r="E171" s="40"/>
    </row>
    <row r="172" spans="5:5" ht="12.75" customHeight="1" x14ac:dyDescent="0.2">
      <c r="E172" s="40"/>
    </row>
    <row r="173" spans="5:5" ht="12.75" customHeight="1" x14ac:dyDescent="0.2">
      <c r="E173" s="40"/>
    </row>
    <row r="174" spans="5:5" ht="12.75" customHeight="1" x14ac:dyDescent="0.2">
      <c r="E174" s="40"/>
    </row>
    <row r="175" spans="5:5" ht="12.75" customHeight="1" x14ac:dyDescent="0.2">
      <c r="E175" s="40"/>
    </row>
    <row r="176" spans="5:5" ht="12.75" customHeight="1" x14ac:dyDescent="0.2">
      <c r="E176" s="40"/>
    </row>
    <row r="177" spans="5:5" ht="12.75" customHeight="1" x14ac:dyDescent="0.2">
      <c r="E177" s="40"/>
    </row>
    <row r="178" spans="5:5" ht="12.75" customHeight="1" x14ac:dyDescent="0.2">
      <c r="E178" s="40"/>
    </row>
    <row r="179" spans="5:5" ht="12.75" customHeight="1" x14ac:dyDescent="0.2">
      <c r="E179" s="40"/>
    </row>
    <row r="180" spans="5:5" ht="12.75" customHeight="1" x14ac:dyDescent="0.2">
      <c r="E180" s="40"/>
    </row>
    <row r="181" spans="5:5" ht="12.75" customHeight="1" x14ac:dyDescent="0.2">
      <c r="E181" s="40"/>
    </row>
    <row r="182" spans="5:5" ht="12.75" customHeight="1" x14ac:dyDescent="0.2">
      <c r="E182" s="40"/>
    </row>
    <row r="183" spans="5:5" ht="12.75" customHeight="1" x14ac:dyDescent="0.2">
      <c r="E183" s="40"/>
    </row>
    <row r="184" spans="5:5" ht="12.75" customHeight="1" x14ac:dyDescent="0.2">
      <c r="E184" s="40"/>
    </row>
    <row r="185" spans="5:5" ht="12.75" customHeight="1" x14ac:dyDescent="0.2">
      <c r="E185" s="40"/>
    </row>
    <row r="186" spans="5:5" ht="12.75" customHeight="1" x14ac:dyDescent="0.2">
      <c r="E186" s="40"/>
    </row>
    <row r="187" spans="5:5" ht="12.75" customHeight="1" x14ac:dyDescent="0.2">
      <c r="E187" s="40"/>
    </row>
    <row r="188" spans="5:5" ht="12.75" customHeight="1" x14ac:dyDescent="0.2">
      <c r="E188" s="40"/>
    </row>
    <row r="189" spans="5:5" ht="12.75" customHeight="1" x14ac:dyDescent="0.2">
      <c r="E189" s="40"/>
    </row>
    <row r="190" spans="5:5" ht="12.75" customHeight="1" x14ac:dyDescent="0.2">
      <c r="E190" s="40"/>
    </row>
    <row r="191" spans="5:5" ht="12.75" customHeight="1" x14ac:dyDescent="0.2">
      <c r="E191" s="40"/>
    </row>
    <row r="192" spans="5:5" ht="12.75" customHeight="1" x14ac:dyDescent="0.2">
      <c r="E192" s="40"/>
    </row>
    <row r="193" spans="5:5" ht="12.75" customHeight="1" x14ac:dyDescent="0.2">
      <c r="E193" s="40"/>
    </row>
    <row r="194" spans="5:5" ht="12.75" customHeight="1" x14ac:dyDescent="0.2">
      <c r="E194" s="40"/>
    </row>
    <row r="195" spans="5:5" ht="12.75" customHeight="1" x14ac:dyDescent="0.2">
      <c r="E195" s="40"/>
    </row>
    <row r="196" spans="5:5" ht="12.75" customHeight="1" x14ac:dyDescent="0.2">
      <c r="E196" s="40"/>
    </row>
    <row r="197" spans="5:5" ht="12.75" customHeight="1" x14ac:dyDescent="0.2">
      <c r="E197" s="40"/>
    </row>
    <row r="198" spans="5:5" ht="12.75" customHeight="1" x14ac:dyDescent="0.2">
      <c r="E198" s="40"/>
    </row>
    <row r="199" spans="5:5" ht="12.75" customHeight="1" x14ac:dyDescent="0.2">
      <c r="E199" s="40"/>
    </row>
    <row r="200" spans="5:5" ht="12.75" customHeight="1" x14ac:dyDescent="0.2">
      <c r="E200" s="40"/>
    </row>
    <row r="201" spans="5:5" ht="12.75" customHeight="1" x14ac:dyDescent="0.2">
      <c r="E201" s="40"/>
    </row>
    <row r="202" spans="5:5" ht="12.75" customHeight="1" x14ac:dyDescent="0.2">
      <c r="E202" s="40"/>
    </row>
    <row r="203" spans="5:5" ht="12.75" customHeight="1" x14ac:dyDescent="0.2">
      <c r="E203" s="40"/>
    </row>
    <row r="204" spans="5:5" ht="12.75" customHeight="1" x14ac:dyDescent="0.2">
      <c r="E204" s="40"/>
    </row>
    <row r="205" spans="5:5" ht="12.75" customHeight="1" x14ac:dyDescent="0.2">
      <c r="E205" s="40"/>
    </row>
    <row r="206" spans="5:5" ht="12.75" customHeight="1" x14ac:dyDescent="0.2">
      <c r="E206" s="40"/>
    </row>
    <row r="207" spans="5:5" ht="12.75" customHeight="1" x14ac:dyDescent="0.2">
      <c r="E207" s="40"/>
    </row>
    <row r="208" spans="5:5" ht="12.75" customHeight="1" x14ac:dyDescent="0.2">
      <c r="E208" s="40"/>
    </row>
    <row r="209" spans="5:5" ht="12.75" customHeight="1" x14ac:dyDescent="0.2">
      <c r="E209" s="40"/>
    </row>
    <row r="210" spans="5:5" ht="12.75" customHeight="1" x14ac:dyDescent="0.2">
      <c r="E210" s="40"/>
    </row>
    <row r="211" spans="5:5" ht="12.75" customHeight="1" x14ac:dyDescent="0.2">
      <c r="E211" s="40"/>
    </row>
    <row r="212" spans="5:5" ht="12.75" customHeight="1" x14ac:dyDescent="0.2">
      <c r="E212" s="40"/>
    </row>
    <row r="213" spans="5:5" ht="12.75" customHeight="1" x14ac:dyDescent="0.2">
      <c r="E213" s="40"/>
    </row>
    <row r="214" spans="5:5" ht="12.75" customHeight="1" x14ac:dyDescent="0.2">
      <c r="E214" s="40"/>
    </row>
    <row r="215" spans="5:5" ht="12.75" customHeight="1" x14ac:dyDescent="0.2">
      <c r="E215" s="40"/>
    </row>
    <row r="216" spans="5:5" ht="12.75" customHeight="1" x14ac:dyDescent="0.2">
      <c r="E216" s="40"/>
    </row>
    <row r="217" spans="5:5" ht="12.75" customHeight="1" x14ac:dyDescent="0.2">
      <c r="E217" s="40"/>
    </row>
    <row r="218" spans="5:5" ht="12.75" customHeight="1" x14ac:dyDescent="0.2">
      <c r="E218" s="40"/>
    </row>
    <row r="219" spans="5:5" ht="12.75" customHeight="1" x14ac:dyDescent="0.2">
      <c r="E219" s="40"/>
    </row>
    <row r="220" spans="5:5" ht="12.75" customHeight="1" x14ac:dyDescent="0.2">
      <c r="E220" s="40"/>
    </row>
    <row r="221" spans="5:5" ht="15.75" customHeight="1" x14ac:dyDescent="0.2">
      <c r="E221" s="40"/>
    </row>
    <row r="222" spans="5:5" ht="15.75" customHeight="1" x14ac:dyDescent="0.2">
      <c r="E222" s="40"/>
    </row>
    <row r="223" spans="5:5" ht="15.75" customHeight="1" x14ac:dyDescent="0.2">
      <c r="E223" s="40"/>
    </row>
    <row r="224" spans="5:5" ht="15.75" customHeight="1" x14ac:dyDescent="0.2">
      <c r="E224" s="40"/>
    </row>
    <row r="225" spans="5:5" ht="15.75" customHeight="1" x14ac:dyDescent="0.2">
      <c r="E225" s="40"/>
    </row>
    <row r="226" spans="5:5" ht="15.75" customHeight="1" x14ac:dyDescent="0.2">
      <c r="E226" s="40"/>
    </row>
    <row r="227" spans="5:5" ht="15.75" customHeight="1" x14ac:dyDescent="0.2">
      <c r="E227" s="40"/>
    </row>
    <row r="228" spans="5:5" ht="15.75" customHeight="1" x14ac:dyDescent="0.2">
      <c r="E228" s="40"/>
    </row>
    <row r="229" spans="5:5" ht="15.75" customHeight="1" x14ac:dyDescent="0.2">
      <c r="E229" s="40"/>
    </row>
    <row r="230" spans="5:5" ht="15.75" customHeight="1" x14ac:dyDescent="0.2">
      <c r="E230" s="40"/>
    </row>
    <row r="231" spans="5:5" ht="15.75" customHeight="1" x14ac:dyDescent="0.2">
      <c r="E231" s="40"/>
    </row>
    <row r="232" spans="5:5" ht="15.75" customHeight="1" x14ac:dyDescent="0.2">
      <c r="E232" s="40"/>
    </row>
    <row r="233" spans="5:5" ht="15.75" customHeight="1" x14ac:dyDescent="0.2">
      <c r="E233" s="40"/>
    </row>
    <row r="234" spans="5:5" ht="15.75" customHeight="1" x14ac:dyDescent="0.2">
      <c r="E234" s="40"/>
    </row>
    <row r="235" spans="5:5" ht="15.75" customHeight="1" x14ac:dyDescent="0.2">
      <c r="E235" s="40"/>
    </row>
    <row r="236" spans="5:5" ht="15.75" customHeight="1" x14ac:dyDescent="0.2">
      <c r="E236" s="40"/>
    </row>
    <row r="237" spans="5:5" ht="15.75" customHeight="1" x14ac:dyDescent="0.2">
      <c r="E237" s="40"/>
    </row>
    <row r="238" spans="5:5" ht="15.75" customHeight="1" x14ac:dyDescent="0.2">
      <c r="E238" s="40"/>
    </row>
    <row r="239" spans="5:5" ht="15.75" customHeight="1" x14ac:dyDescent="0.2">
      <c r="E239" s="40"/>
    </row>
    <row r="240" spans="5:5" ht="15.75" customHeight="1" x14ac:dyDescent="0.2">
      <c r="E240" s="40"/>
    </row>
    <row r="241" spans="5:5" ht="15.75" customHeight="1" x14ac:dyDescent="0.2">
      <c r="E241" s="40"/>
    </row>
    <row r="242" spans="5:5" ht="15.75" customHeight="1" x14ac:dyDescent="0.2">
      <c r="E242" s="40"/>
    </row>
    <row r="243" spans="5:5" ht="15.75" customHeight="1" x14ac:dyDescent="0.2">
      <c r="E243" s="40"/>
    </row>
    <row r="244" spans="5:5" ht="15.75" customHeight="1" x14ac:dyDescent="0.2">
      <c r="E244" s="40"/>
    </row>
    <row r="245" spans="5:5" ht="15.75" customHeight="1" x14ac:dyDescent="0.2">
      <c r="E245" s="40"/>
    </row>
    <row r="246" spans="5:5" ht="15.75" customHeight="1" x14ac:dyDescent="0.2">
      <c r="E246" s="40"/>
    </row>
    <row r="247" spans="5:5" ht="15.75" customHeight="1" x14ac:dyDescent="0.2">
      <c r="E247" s="40"/>
    </row>
    <row r="248" spans="5:5" ht="15.75" customHeight="1" x14ac:dyDescent="0.2">
      <c r="E248" s="40"/>
    </row>
    <row r="249" spans="5:5" ht="15.75" customHeight="1" x14ac:dyDescent="0.2">
      <c r="E249" s="40"/>
    </row>
    <row r="250" spans="5:5" ht="15.75" customHeight="1" x14ac:dyDescent="0.2">
      <c r="E250" s="40"/>
    </row>
    <row r="251" spans="5:5" ht="15.75" customHeight="1" x14ac:dyDescent="0.2">
      <c r="E251" s="40"/>
    </row>
    <row r="252" spans="5:5" ht="15.75" customHeight="1" x14ac:dyDescent="0.2">
      <c r="E252" s="40"/>
    </row>
    <row r="253" spans="5:5" ht="15.75" customHeight="1" x14ac:dyDescent="0.2">
      <c r="E253" s="40"/>
    </row>
    <row r="254" spans="5:5" ht="15.75" customHeight="1" x14ac:dyDescent="0.2">
      <c r="E254" s="40"/>
    </row>
    <row r="255" spans="5:5" ht="15.75" customHeight="1" x14ac:dyDescent="0.2">
      <c r="E255" s="40"/>
    </row>
    <row r="256" spans="5:5" ht="15.75" customHeight="1" x14ac:dyDescent="0.2">
      <c r="E256" s="40"/>
    </row>
    <row r="257" spans="5:5" ht="15.75" customHeight="1" x14ac:dyDescent="0.2">
      <c r="E257" s="40"/>
    </row>
    <row r="258" spans="5:5" ht="15.75" customHeight="1" x14ac:dyDescent="0.2">
      <c r="E258" s="40"/>
    </row>
    <row r="259" spans="5:5" ht="15.75" customHeight="1" x14ac:dyDescent="0.2">
      <c r="E259" s="40"/>
    </row>
    <row r="260" spans="5:5" ht="15.75" customHeight="1" x14ac:dyDescent="0.2">
      <c r="E260" s="40"/>
    </row>
    <row r="261" spans="5:5" ht="15.75" customHeight="1" x14ac:dyDescent="0.2">
      <c r="E261" s="40"/>
    </row>
    <row r="262" spans="5:5" ht="15.75" customHeight="1" x14ac:dyDescent="0.2">
      <c r="E262" s="40"/>
    </row>
    <row r="263" spans="5:5" ht="15.75" customHeight="1" x14ac:dyDescent="0.2">
      <c r="E263" s="40"/>
    </row>
    <row r="264" spans="5:5" ht="15.75" customHeight="1" x14ac:dyDescent="0.2">
      <c r="E264" s="40"/>
    </row>
    <row r="265" spans="5:5" ht="15.75" customHeight="1" x14ac:dyDescent="0.2">
      <c r="E265" s="40"/>
    </row>
    <row r="266" spans="5:5" ht="15.75" customHeight="1" x14ac:dyDescent="0.2">
      <c r="E266" s="40"/>
    </row>
    <row r="267" spans="5:5" ht="15.75" customHeight="1" x14ac:dyDescent="0.2">
      <c r="E267" s="40"/>
    </row>
    <row r="268" spans="5:5" ht="15.75" customHeight="1" x14ac:dyDescent="0.2">
      <c r="E268" s="40"/>
    </row>
    <row r="269" spans="5:5" ht="15.75" customHeight="1" x14ac:dyDescent="0.2">
      <c r="E269" s="40"/>
    </row>
    <row r="270" spans="5:5" ht="15.75" customHeight="1" x14ac:dyDescent="0.2">
      <c r="E270" s="40"/>
    </row>
    <row r="271" spans="5:5" ht="15.75" customHeight="1" x14ac:dyDescent="0.2">
      <c r="E271" s="40"/>
    </row>
    <row r="272" spans="5:5" ht="15.75" customHeight="1" x14ac:dyDescent="0.2">
      <c r="E272" s="40"/>
    </row>
    <row r="273" spans="5:5" ht="15.75" customHeight="1" x14ac:dyDescent="0.2">
      <c r="E273" s="40"/>
    </row>
    <row r="274" spans="5:5" ht="15.75" customHeight="1" x14ac:dyDescent="0.2">
      <c r="E274" s="40"/>
    </row>
    <row r="275" spans="5:5" ht="15.75" customHeight="1" x14ac:dyDescent="0.2">
      <c r="E275" s="40"/>
    </row>
    <row r="276" spans="5:5" ht="15.75" customHeight="1" x14ac:dyDescent="0.2">
      <c r="E276" s="40"/>
    </row>
    <row r="277" spans="5:5" ht="15.75" customHeight="1" x14ac:dyDescent="0.2">
      <c r="E277" s="40"/>
    </row>
    <row r="278" spans="5:5" ht="15.75" customHeight="1" x14ac:dyDescent="0.2">
      <c r="E278" s="40"/>
    </row>
    <row r="279" spans="5:5" ht="15.75" customHeight="1" x14ac:dyDescent="0.2">
      <c r="E279" s="40"/>
    </row>
    <row r="280" spans="5:5" ht="15.75" customHeight="1" x14ac:dyDescent="0.2">
      <c r="E280" s="40"/>
    </row>
    <row r="281" spans="5:5" ht="15.75" customHeight="1" x14ac:dyDescent="0.2">
      <c r="E281" s="40"/>
    </row>
    <row r="282" spans="5:5" ht="15.75" customHeight="1" x14ac:dyDescent="0.2">
      <c r="E282" s="40"/>
    </row>
    <row r="283" spans="5:5" ht="15.75" customHeight="1" x14ac:dyDescent="0.2">
      <c r="E283" s="40"/>
    </row>
    <row r="284" spans="5:5" ht="15.75" customHeight="1" x14ac:dyDescent="0.2">
      <c r="E284" s="40"/>
    </row>
    <row r="285" spans="5:5" ht="15.75" customHeight="1" x14ac:dyDescent="0.2">
      <c r="E285" s="40"/>
    </row>
    <row r="286" spans="5:5" ht="15.75" customHeight="1" x14ac:dyDescent="0.2">
      <c r="E286" s="40"/>
    </row>
    <row r="287" spans="5:5" ht="15.75" customHeight="1" x14ac:dyDescent="0.2">
      <c r="E287" s="40"/>
    </row>
    <row r="288" spans="5:5" ht="15.75" customHeight="1" x14ac:dyDescent="0.2">
      <c r="E288" s="40"/>
    </row>
    <row r="289" spans="5:5" ht="15.75" customHeight="1" x14ac:dyDescent="0.2">
      <c r="E289" s="40"/>
    </row>
    <row r="290" spans="5:5" ht="15.75" customHeight="1" x14ac:dyDescent="0.2">
      <c r="E290" s="40"/>
    </row>
    <row r="291" spans="5:5" ht="15.75" customHeight="1" x14ac:dyDescent="0.2">
      <c r="E291" s="40"/>
    </row>
    <row r="292" spans="5:5" ht="15.75" customHeight="1" x14ac:dyDescent="0.2">
      <c r="E292" s="40"/>
    </row>
    <row r="293" spans="5:5" ht="15.75" customHeight="1" x14ac:dyDescent="0.2">
      <c r="E293" s="40"/>
    </row>
    <row r="294" spans="5:5" ht="15.75" customHeight="1" x14ac:dyDescent="0.2">
      <c r="E294" s="40"/>
    </row>
    <row r="295" spans="5:5" ht="15.75" customHeight="1" x14ac:dyDescent="0.2">
      <c r="E295" s="40"/>
    </row>
    <row r="296" spans="5:5" ht="15.75" customHeight="1" x14ac:dyDescent="0.2">
      <c r="E296" s="40"/>
    </row>
    <row r="297" spans="5:5" ht="15.75" customHeight="1" x14ac:dyDescent="0.2">
      <c r="E297" s="40"/>
    </row>
    <row r="298" spans="5:5" ht="15.75" customHeight="1" x14ac:dyDescent="0.2">
      <c r="E298" s="40"/>
    </row>
    <row r="299" spans="5:5" ht="15.75" customHeight="1" x14ac:dyDescent="0.2">
      <c r="E299" s="40"/>
    </row>
    <row r="300" spans="5:5" ht="15.75" customHeight="1" x14ac:dyDescent="0.2">
      <c r="E300" s="40"/>
    </row>
    <row r="301" spans="5:5" ht="15.75" customHeight="1" x14ac:dyDescent="0.2">
      <c r="E301" s="40"/>
    </row>
    <row r="302" spans="5:5" ht="15.75" customHeight="1" x14ac:dyDescent="0.2">
      <c r="E302" s="40"/>
    </row>
    <row r="303" spans="5:5" ht="15.75" customHeight="1" x14ac:dyDescent="0.2">
      <c r="E303" s="40"/>
    </row>
    <row r="304" spans="5:5" ht="15.75" customHeight="1" x14ac:dyDescent="0.2">
      <c r="E304" s="40"/>
    </row>
    <row r="305" spans="5:5" ht="15.75" customHeight="1" x14ac:dyDescent="0.2">
      <c r="E305" s="40"/>
    </row>
    <row r="306" spans="5:5" ht="15.75" customHeight="1" x14ac:dyDescent="0.2">
      <c r="E306" s="40"/>
    </row>
    <row r="307" spans="5:5" ht="15.75" customHeight="1" x14ac:dyDescent="0.2">
      <c r="E307" s="40"/>
    </row>
    <row r="308" spans="5:5" ht="15.75" customHeight="1" x14ac:dyDescent="0.2">
      <c r="E308" s="40"/>
    </row>
    <row r="309" spans="5:5" ht="15.75" customHeight="1" x14ac:dyDescent="0.2">
      <c r="E309" s="40"/>
    </row>
    <row r="310" spans="5:5" ht="15.75" customHeight="1" x14ac:dyDescent="0.2">
      <c r="E310" s="40"/>
    </row>
    <row r="311" spans="5:5" ht="15.75" customHeight="1" x14ac:dyDescent="0.2">
      <c r="E311" s="40"/>
    </row>
    <row r="312" spans="5:5" ht="15.75" customHeight="1" x14ac:dyDescent="0.2">
      <c r="E312" s="40"/>
    </row>
    <row r="313" spans="5:5" ht="15.75" customHeight="1" x14ac:dyDescent="0.2">
      <c r="E313" s="40"/>
    </row>
    <row r="314" spans="5:5" ht="15.75" customHeight="1" x14ac:dyDescent="0.2">
      <c r="E314" s="40"/>
    </row>
    <row r="315" spans="5:5" ht="15.75" customHeight="1" x14ac:dyDescent="0.2">
      <c r="E315" s="40"/>
    </row>
    <row r="316" spans="5:5" ht="15.75" customHeight="1" x14ac:dyDescent="0.2">
      <c r="E316" s="40"/>
    </row>
    <row r="317" spans="5:5" ht="15.75" customHeight="1" x14ac:dyDescent="0.2">
      <c r="E317" s="40"/>
    </row>
    <row r="318" spans="5:5" ht="15.75" customHeight="1" x14ac:dyDescent="0.2">
      <c r="E318" s="40"/>
    </row>
    <row r="319" spans="5:5" ht="15.75" customHeight="1" x14ac:dyDescent="0.2">
      <c r="E319" s="40"/>
    </row>
    <row r="320" spans="5:5" ht="15.75" customHeight="1" x14ac:dyDescent="0.2">
      <c r="E320" s="40"/>
    </row>
    <row r="321" spans="5:5" ht="15.75" customHeight="1" x14ac:dyDescent="0.2">
      <c r="E321" s="40"/>
    </row>
    <row r="322" spans="5:5" ht="15.75" customHeight="1" x14ac:dyDescent="0.2">
      <c r="E322" s="40"/>
    </row>
    <row r="323" spans="5:5" ht="15.75" customHeight="1" x14ac:dyDescent="0.2">
      <c r="E323" s="40"/>
    </row>
    <row r="324" spans="5:5" ht="15.75" customHeight="1" x14ac:dyDescent="0.2">
      <c r="E324" s="40"/>
    </row>
    <row r="325" spans="5:5" ht="15.75" customHeight="1" x14ac:dyDescent="0.2">
      <c r="E325" s="40"/>
    </row>
    <row r="326" spans="5:5" ht="15.75" customHeight="1" x14ac:dyDescent="0.2">
      <c r="E326" s="40"/>
    </row>
    <row r="327" spans="5:5" ht="15.75" customHeight="1" x14ac:dyDescent="0.2">
      <c r="E327" s="40"/>
    </row>
    <row r="328" spans="5:5" ht="15.75" customHeight="1" x14ac:dyDescent="0.2">
      <c r="E328" s="40"/>
    </row>
    <row r="329" spans="5:5" ht="15.75" customHeight="1" x14ac:dyDescent="0.2">
      <c r="E329" s="40"/>
    </row>
    <row r="330" spans="5:5" ht="15.75" customHeight="1" x14ac:dyDescent="0.2">
      <c r="E330" s="40"/>
    </row>
    <row r="331" spans="5:5" ht="15.75" customHeight="1" x14ac:dyDescent="0.2">
      <c r="E331" s="40"/>
    </row>
    <row r="332" spans="5:5" ht="15.75" customHeight="1" x14ac:dyDescent="0.2">
      <c r="E332" s="40"/>
    </row>
    <row r="333" spans="5:5" ht="15.75" customHeight="1" x14ac:dyDescent="0.2">
      <c r="E333" s="40"/>
    </row>
    <row r="334" spans="5:5" ht="15.75" customHeight="1" x14ac:dyDescent="0.2">
      <c r="E334" s="40"/>
    </row>
    <row r="335" spans="5:5" ht="15.75" customHeight="1" x14ac:dyDescent="0.2">
      <c r="E335" s="40"/>
    </row>
    <row r="336" spans="5:5" ht="15.75" customHeight="1" x14ac:dyDescent="0.2">
      <c r="E336" s="40"/>
    </row>
    <row r="337" spans="5:5" ht="15.75" customHeight="1" x14ac:dyDescent="0.2">
      <c r="E337" s="40"/>
    </row>
    <row r="338" spans="5:5" ht="15.75" customHeight="1" x14ac:dyDescent="0.2">
      <c r="E338" s="40"/>
    </row>
    <row r="339" spans="5:5" ht="15.75" customHeight="1" x14ac:dyDescent="0.2">
      <c r="E339" s="40"/>
    </row>
    <row r="340" spans="5:5" ht="15.75" customHeight="1" x14ac:dyDescent="0.2">
      <c r="E340" s="40"/>
    </row>
    <row r="341" spans="5:5" ht="15.75" customHeight="1" x14ac:dyDescent="0.2">
      <c r="E341" s="40"/>
    </row>
    <row r="342" spans="5:5" ht="15.75" customHeight="1" x14ac:dyDescent="0.2">
      <c r="E342" s="40"/>
    </row>
    <row r="343" spans="5:5" ht="15.75" customHeight="1" x14ac:dyDescent="0.2">
      <c r="E343" s="40"/>
    </row>
    <row r="344" spans="5:5" ht="15.75" customHeight="1" x14ac:dyDescent="0.2">
      <c r="E344" s="40"/>
    </row>
    <row r="345" spans="5:5" ht="15.75" customHeight="1" x14ac:dyDescent="0.2">
      <c r="E345" s="40"/>
    </row>
    <row r="346" spans="5:5" ht="15.75" customHeight="1" x14ac:dyDescent="0.2">
      <c r="E346" s="40"/>
    </row>
    <row r="347" spans="5:5" ht="15.75" customHeight="1" x14ac:dyDescent="0.2">
      <c r="E347" s="40"/>
    </row>
    <row r="348" spans="5:5" ht="15.75" customHeight="1" x14ac:dyDescent="0.2">
      <c r="E348" s="40"/>
    </row>
    <row r="349" spans="5:5" ht="15.75" customHeight="1" x14ac:dyDescent="0.2">
      <c r="E349" s="40"/>
    </row>
    <row r="350" spans="5:5" ht="15.75" customHeight="1" x14ac:dyDescent="0.2">
      <c r="E350" s="40"/>
    </row>
    <row r="351" spans="5:5" ht="15.75" customHeight="1" x14ac:dyDescent="0.2">
      <c r="E351" s="40"/>
    </row>
    <row r="352" spans="5:5" ht="15.75" customHeight="1" x14ac:dyDescent="0.2">
      <c r="E352" s="40"/>
    </row>
    <row r="353" spans="5:5" ht="15.75" customHeight="1" x14ac:dyDescent="0.2">
      <c r="E353" s="40"/>
    </row>
    <row r="354" spans="5:5" ht="15.75" customHeight="1" x14ac:dyDescent="0.2">
      <c r="E354" s="40"/>
    </row>
    <row r="355" spans="5:5" ht="15.75" customHeight="1" x14ac:dyDescent="0.2">
      <c r="E355" s="40"/>
    </row>
    <row r="356" spans="5:5" ht="15.75" customHeight="1" x14ac:dyDescent="0.2">
      <c r="E356" s="40"/>
    </row>
    <row r="357" spans="5:5" ht="15.75" customHeight="1" x14ac:dyDescent="0.2">
      <c r="E357" s="40"/>
    </row>
    <row r="358" spans="5:5" ht="15.75" customHeight="1" x14ac:dyDescent="0.2">
      <c r="E358" s="40"/>
    </row>
    <row r="359" spans="5:5" ht="15.75" customHeight="1" x14ac:dyDescent="0.2">
      <c r="E359" s="40"/>
    </row>
    <row r="360" spans="5:5" ht="15.75" customHeight="1" x14ac:dyDescent="0.2">
      <c r="E360" s="40"/>
    </row>
    <row r="361" spans="5:5" ht="15.75" customHeight="1" x14ac:dyDescent="0.2">
      <c r="E361" s="40"/>
    </row>
    <row r="362" spans="5:5" ht="15.75" customHeight="1" x14ac:dyDescent="0.2">
      <c r="E362" s="40"/>
    </row>
    <row r="363" spans="5:5" ht="15.75" customHeight="1" x14ac:dyDescent="0.2">
      <c r="E363" s="40"/>
    </row>
    <row r="364" spans="5:5" ht="15.75" customHeight="1" x14ac:dyDescent="0.2">
      <c r="E364" s="40"/>
    </row>
    <row r="365" spans="5:5" ht="15.75" customHeight="1" x14ac:dyDescent="0.2">
      <c r="E365" s="40"/>
    </row>
    <row r="366" spans="5:5" ht="15.75" customHeight="1" x14ac:dyDescent="0.2">
      <c r="E366" s="40"/>
    </row>
    <row r="367" spans="5:5" ht="15.75" customHeight="1" x14ac:dyDescent="0.2">
      <c r="E367" s="40"/>
    </row>
    <row r="368" spans="5:5" ht="15.75" customHeight="1" x14ac:dyDescent="0.2">
      <c r="E368" s="40"/>
    </row>
    <row r="369" spans="5:5" ht="15.75" customHeight="1" x14ac:dyDescent="0.2">
      <c r="E369" s="40"/>
    </row>
    <row r="370" spans="5:5" ht="15.75" customHeight="1" x14ac:dyDescent="0.2">
      <c r="E370" s="40"/>
    </row>
    <row r="371" spans="5:5" ht="15.75" customHeight="1" x14ac:dyDescent="0.2">
      <c r="E371" s="40"/>
    </row>
    <row r="372" spans="5:5" ht="15.75" customHeight="1" x14ac:dyDescent="0.2">
      <c r="E372" s="40"/>
    </row>
    <row r="373" spans="5:5" ht="15.75" customHeight="1" x14ac:dyDescent="0.2">
      <c r="E373" s="40"/>
    </row>
    <row r="374" spans="5:5" ht="15.75" customHeight="1" x14ac:dyDescent="0.2">
      <c r="E374" s="40"/>
    </row>
    <row r="375" spans="5:5" ht="15.75" customHeight="1" x14ac:dyDescent="0.2">
      <c r="E375" s="40"/>
    </row>
    <row r="376" spans="5:5" ht="15.75" customHeight="1" x14ac:dyDescent="0.2">
      <c r="E376" s="40"/>
    </row>
    <row r="377" spans="5:5" ht="15.75" customHeight="1" x14ac:dyDescent="0.2">
      <c r="E377" s="40"/>
    </row>
    <row r="378" spans="5:5" ht="15.75" customHeight="1" x14ac:dyDescent="0.2">
      <c r="E378" s="40"/>
    </row>
    <row r="379" spans="5:5" ht="15.75" customHeight="1" x14ac:dyDescent="0.2">
      <c r="E379" s="40"/>
    </row>
    <row r="380" spans="5:5" ht="15.75" customHeight="1" x14ac:dyDescent="0.2">
      <c r="E380" s="40"/>
    </row>
    <row r="381" spans="5:5" ht="15.75" customHeight="1" x14ac:dyDescent="0.2">
      <c r="E381" s="40"/>
    </row>
    <row r="382" spans="5:5" ht="15.75" customHeight="1" x14ac:dyDescent="0.2">
      <c r="E382" s="40"/>
    </row>
    <row r="383" spans="5:5" ht="15.75" customHeight="1" x14ac:dyDescent="0.2">
      <c r="E383" s="40"/>
    </row>
    <row r="384" spans="5:5" ht="15.75" customHeight="1" x14ac:dyDescent="0.2">
      <c r="E384" s="40"/>
    </row>
    <row r="385" spans="5:5" ht="15.75" customHeight="1" x14ac:dyDescent="0.2">
      <c r="E385" s="40"/>
    </row>
    <row r="386" spans="5:5" ht="15.75" customHeight="1" x14ac:dyDescent="0.2">
      <c r="E386" s="40"/>
    </row>
    <row r="387" spans="5:5" ht="15.75" customHeight="1" x14ac:dyDescent="0.2">
      <c r="E387" s="40"/>
    </row>
    <row r="388" spans="5:5" ht="15.75" customHeight="1" x14ac:dyDescent="0.2">
      <c r="E388" s="40"/>
    </row>
    <row r="389" spans="5:5" ht="15.75" customHeight="1" x14ac:dyDescent="0.2">
      <c r="E389" s="40"/>
    </row>
    <row r="390" spans="5:5" ht="15.75" customHeight="1" x14ac:dyDescent="0.2">
      <c r="E390" s="40"/>
    </row>
    <row r="391" spans="5:5" ht="15.75" customHeight="1" x14ac:dyDescent="0.2">
      <c r="E391" s="40"/>
    </row>
    <row r="392" spans="5:5" ht="15.75" customHeight="1" x14ac:dyDescent="0.2">
      <c r="E392" s="40"/>
    </row>
    <row r="393" spans="5:5" ht="15.75" customHeight="1" x14ac:dyDescent="0.2">
      <c r="E393" s="40"/>
    </row>
    <row r="394" spans="5:5" ht="15.75" customHeight="1" x14ac:dyDescent="0.2">
      <c r="E394" s="40"/>
    </row>
    <row r="395" spans="5:5" ht="15.75" customHeight="1" x14ac:dyDescent="0.2">
      <c r="E395" s="40"/>
    </row>
    <row r="396" spans="5:5" ht="15.75" customHeight="1" x14ac:dyDescent="0.2">
      <c r="E396" s="40"/>
    </row>
    <row r="397" spans="5:5" ht="15.75" customHeight="1" x14ac:dyDescent="0.2">
      <c r="E397" s="40"/>
    </row>
    <row r="398" spans="5:5" ht="15.75" customHeight="1" x14ac:dyDescent="0.2">
      <c r="E398" s="40"/>
    </row>
    <row r="399" spans="5:5" ht="15.75" customHeight="1" x14ac:dyDescent="0.2">
      <c r="E399" s="40"/>
    </row>
    <row r="400" spans="5:5" ht="15.75" customHeight="1" x14ac:dyDescent="0.2">
      <c r="E400" s="40"/>
    </row>
    <row r="401" spans="5:5" ht="15.75" customHeight="1" x14ac:dyDescent="0.2">
      <c r="E401" s="40"/>
    </row>
    <row r="402" spans="5:5" ht="15.75" customHeight="1" x14ac:dyDescent="0.2">
      <c r="E402" s="40"/>
    </row>
    <row r="403" spans="5:5" ht="15.75" customHeight="1" x14ac:dyDescent="0.2">
      <c r="E403" s="40"/>
    </row>
    <row r="404" spans="5:5" ht="15.75" customHeight="1" x14ac:dyDescent="0.2">
      <c r="E404" s="40"/>
    </row>
    <row r="405" spans="5:5" ht="15.75" customHeight="1" x14ac:dyDescent="0.2">
      <c r="E405" s="40"/>
    </row>
    <row r="406" spans="5:5" ht="15.75" customHeight="1" x14ac:dyDescent="0.2">
      <c r="E406" s="40"/>
    </row>
    <row r="407" spans="5:5" ht="15.75" customHeight="1" x14ac:dyDescent="0.2">
      <c r="E407" s="40"/>
    </row>
    <row r="408" spans="5:5" ht="15.75" customHeight="1" x14ac:dyDescent="0.2">
      <c r="E408" s="40"/>
    </row>
    <row r="409" spans="5:5" ht="15.75" customHeight="1" x14ac:dyDescent="0.2">
      <c r="E409" s="40"/>
    </row>
    <row r="410" spans="5:5" ht="15.75" customHeight="1" x14ac:dyDescent="0.2">
      <c r="E410" s="40"/>
    </row>
    <row r="411" spans="5:5" ht="15.75" customHeight="1" x14ac:dyDescent="0.2">
      <c r="E411" s="40"/>
    </row>
    <row r="412" spans="5:5" ht="15.75" customHeight="1" x14ac:dyDescent="0.2">
      <c r="E412" s="40"/>
    </row>
    <row r="413" spans="5:5" ht="15.75" customHeight="1" x14ac:dyDescent="0.2">
      <c r="E413" s="40"/>
    </row>
    <row r="414" spans="5:5" ht="15.75" customHeight="1" x14ac:dyDescent="0.2">
      <c r="E414" s="40"/>
    </row>
    <row r="415" spans="5:5" ht="15.75" customHeight="1" x14ac:dyDescent="0.2">
      <c r="E415" s="40"/>
    </row>
    <row r="416" spans="5:5" ht="15.75" customHeight="1" x14ac:dyDescent="0.2">
      <c r="E416" s="40"/>
    </row>
    <row r="417" spans="5:5" ht="15.75" customHeight="1" x14ac:dyDescent="0.2">
      <c r="E417" s="40"/>
    </row>
    <row r="418" spans="5:5" ht="15.75" customHeight="1" x14ac:dyDescent="0.2">
      <c r="E418" s="40"/>
    </row>
    <row r="419" spans="5:5" ht="15.75" customHeight="1" x14ac:dyDescent="0.2">
      <c r="E419" s="40"/>
    </row>
    <row r="420" spans="5:5" ht="15.75" customHeight="1" x14ac:dyDescent="0.2">
      <c r="E420" s="40"/>
    </row>
    <row r="421" spans="5:5" ht="15.75" customHeight="1" x14ac:dyDescent="0.2">
      <c r="E421" s="40"/>
    </row>
    <row r="422" spans="5:5" ht="15.75" customHeight="1" x14ac:dyDescent="0.2">
      <c r="E422" s="40"/>
    </row>
    <row r="423" spans="5:5" ht="15.75" customHeight="1" x14ac:dyDescent="0.2">
      <c r="E423" s="40"/>
    </row>
    <row r="424" spans="5:5" ht="15.75" customHeight="1" x14ac:dyDescent="0.2">
      <c r="E424" s="40"/>
    </row>
    <row r="425" spans="5:5" ht="15.75" customHeight="1" x14ac:dyDescent="0.2">
      <c r="E425" s="40"/>
    </row>
    <row r="426" spans="5:5" ht="15.75" customHeight="1" x14ac:dyDescent="0.2">
      <c r="E426" s="40"/>
    </row>
    <row r="427" spans="5:5" ht="15.75" customHeight="1" x14ac:dyDescent="0.2">
      <c r="E427" s="40"/>
    </row>
    <row r="428" spans="5:5" ht="15.75" customHeight="1" x14ac:dyDescent="0.2">
      <c r="E428" s="40"/>
    </row>
    <row r="429" spans="5:5" ht="15.75" customHeight="1" x14ac:dyDescent="0.2">
      <c r="E429" s="40"/>
    </row>
    <row r="430" spans="5:5" ht="15.75" customHeight="1" x14ac:dyDescent="0.2">
      <c r="E430" s="40"/>
    </row>
    <row r="431" spans="5:5" ht="15.75" customHeight="1" x14ac:dyDescent="0.2">
      <c r="E431" s="40"/>
    </row>
    <row r="432" spans="5:5" ht="15.75" customHeight="1" x14ac:dyDescent="0.2">
      <c r="E432" s="40"/>
    </row>
    <row r="433" spans="5:5" ht="15.75" customHeight="1" x14ac:dyDescent="0.2">
      <c r="E433" s="40"/>
    </row>
    <row r="434" spans="5:5" ht="15.75" customHeight="1" x14ac:dyDescent="0.2">
      <c r="E434" s="40"/>
    </row>
    <row r="435" spans="5:5" ht="15.75" customHeight="1" x14ac:dyDescent="0.2">
      <c r="E435" s="40"/>
    </row>
    <row r="436" spans="5:5" ht="15.75" customHeight="1" x14ac:dyDescent="0.2">
      <c r="E436" s="40"/>
    </row>
    <row r="437" spans="5:5" ht="15.75" customHeight="1" x14ac:dyDescent="0.2">
      <c r="E437" s="40"/>
    </row>
    <row r="438" spans="5:5" ht="15.75" customHeight="1" x14ac:dyDescent="0.2">
      <c r="E438" s="40"/>
    </row>
    <row r="439" spans="5:5" ht="15.75" customHeight="1" x14ac:dyDescent="0.2">
      <c r="E439" s="40"/>
    </row>
    <row r="440" spans="5:5" ht="15.75" customHeight="1" x14ac:dyDescent="0.2">
      <c r="E440" s="40"/>
    </row>
    <row r="441" spans="5:5" ht="15.75" customHeight="1" x14ac:dyDescent="0.2">
      <c r="E441" s="40"/>
    </row>
    <row r="442" spans="5:5" ht="15.75" customHeight="1" x14ac:dyDescent="0.2">
      <c r="E442" s="40"/>
    </row>
    <row r="443" spans="5:5" ht="15.75" customHeight="1" x14ac:dyDescent="0.2">
      <c r="E443" s="40"/>
    </row>
    <row r="444" spans="5:5" ht="15.75" customHeight="1" x14ac:dyDescent="0.2">
      <c r="E444" s="40"/>
    </row>
    <row r="445" spans="5:5" ht="15.75" customHeight="1" x14ac:dyDescent="0.2">
      <c r="E445" s="40"/>
    </row>
    <row r="446" spans="5:5" ht="15.75" customHeight="1" x14ac:dyDescent="0.2">
      <c r="E446" s="40"/>
    </row>
    <row r="447" spans="5:5" ht="15.75" customHeight="1" x14ac:dyDescent="0.2">
      <c r="E447" s="40"/>
    </row>
    <row r="448" spans="5:5" ht="15.75" customHeight="1" x14ac:dyDescent="0.2">
      <c r="E448" s="40"/>
    </row>
    <row r="449" spans="5:5" ht="15.75" customHeight="1" x14ac:dyDescent="0.2">
      <c r="E449" s="40"/>
    </row>
    <row r="450" spans="5:5" ht="15.75" customHeight="1" x14ac:dyDescent="0.2">
      <c r="E450" s="40"/>
    </row>
    <row r="451" spans="5:5" ht="15.75" customHeight="1" x14ac:dyDescent="0.2">
      <c r="E451" s="40"/>
    </row>
    <row r="452" spans="5:5" ht="15.75" customHeight="1" x14ac:dyDescent="0.2">
      <c r="E452" s="40"/>
    </row>
    <row r="453" spans="5:5" ht="15.75" customHeight="1" x14ac:dyDescent="0.2">
      <c r="E453" s="40"/>
    </row>
    <row r="454" spans="5:5" ht="15.75" customHeight="1" x14ac:dyDescent="0.2">
      <c r="E454" s="40"/>
    </row>
    <row r="455" spans="5:5" ht="15.75" customHeight="1" x14ac:dyDescent="0.2">
      <c r="E455" s="40"/>
    </row>
    <row r="456" spans="5:5" ht="15.75" customHeight="1" x14ac:dyDescent="0.2">
      <c r="E456" s="40"/>
    </row>
    <row r="457" spans="5:5" ht="15.75" customHeight="1" x14ac:dyDescent="0.2">
      <c r="E457" s="40"/>
    </row>
    <row r="458" spans="5:5" ht="15.75" customHeight="1" x14ac:dyDescent="0.2">
      <c r="E458" s="40"/>
    </row>
    <row r="459" spans="5:5" ht="15.75" customHeight="1" x14ac:dyDescent="0.2">
      <c r="E459" s="40"/>
    </row>
    <row r="460" spans="5:5" ht="15.75" customHeight="1" x14ac:dyDescent="0.2">
      <c r="E460" s="40"/>
    </row>
    <row r="461" spans="5:5" ht="15.75" customHeight="1" x14ac:dyDescent="0.2">
      <c r="E461" s="40"/>
    </row>
    <row r="462" spans="5:5" ht="15.75" customHeight="1" x14ac:dyDescent="0.2">
      <c r="E462" s="40"/>
    </row>
    <row r="463" spans="5:5" ht="15.75" customHeight="1" x14ac:dyDescent="0.2">
      <c r="E463" s="40"/>
    </row>
    <row r="464" spans="5:5" ht="15.75" customHeight="1" x14ac:dyDescent="0.2">
      <c r="E464" s="40"/>
    </row>
    <row r="465" spans="5:5" ht="15.75" customHeight="1" x14ac:dyDescent="0.2">
      <c r="E465" s="40"/>
    </row>
    <row r="466" spans="5:5" ht="15.75" customHeight="1" x14ac:dyDescent="0.2">
      <c r="E466" s="40"/>
    </row>
    <row r="467" spans="5:5" ht="15.75" customHeight="1" x14ac:dyDescent="0.2">
      <c r="E467" s="40"/>
    </row>
    <row r="468" spans="5:5" ht="15.75" customHeight="1" x14ac:dyDescent="0.2">
      <c r="E468" s="40"/>
    </row>
    <row r="469" spans="5:5" ht="15.75" customHeight="1" x14ac:dyDescent="0.2">
      <c r="E469" s="40"/>
    </row>
    <row r="470" spans="5:5" ht="15.75" customHeight="1" x14ac:dyDescent="0.2">
      <c r="E470" s="40"/>
    </row>
    <row r="471" spans="5:5" ht="15.75" customHeight="1" x14ac:dyDescent="0.2">
      <c r="E471" s="40"/>
    </row>
    <row r="472" spans="5:5" ht="15.75" customHeight="1" x14ac:dyDescent="0.2">
      <c r="E472" s="40"/>
    </row>
    <row r="473" spans="5:5" ht="15.75" customHeight="1" x14ac:dyDescent="0.2">
      <c r="E473" s="40"/>
    </row>
    <row r="474" spans="5:5" ht="15.75" customHeight="1" x14ac:dyDescent="0.2">
      <c r="E474" s="40"/>
    </row>
    <row r="475" spans="5:5" ht="15.75" customHeight="1" x14ac:dyDescent="0.2">
      <c r="E475" s="40"/>
    </row>
    <row r="476" spans="5:5" ht="15.75" customHeight="1" x14ac:dyDescent="0.2">
      <c r="E476" s="40"/>
    </row>
    <row r="477" spans="5:5" ht="15.75" customHeight="1" x14ac:dyDescent="0.2">
      <c r="E477" s="40"/>
    </row>
    <row r="478" spans="5:5" ht="15.75" customHeight="1" x14ac:dyDescent="0.2">
      <c r="E478" s="40"/>
    </row>
    <row r="479" spans="5:5" ht="15.75" customHeight="1" x14ac:dyDescent="0.2">
      <c r="E479" s="40"/>
    </row>
    <row r="480" spans="5:5" ht="15.75" customHeight="1" x14ac:dyDescent="0.2">
      <c r="E480" s="40"/>
    </row>
    <row r="481" spans="5:5" ht="15.75" customHeight="1" x14ac:dyDescent="0.2">
      <c r="E481" s="40"/>
    </row>
    <row r="482" spans="5:5" ht="15.75" customHeight="1" x14ac:dyDescent="0.2">
      <c r="E482" s="40"/>
    </row>
    <row r="483" spans="5:5" ht="15.75" customHeight="1" x14ac:dyDescent="0.2">
      <c r="E483" s="40"/>
    </row>
    <row r="484" spans="5:5" ht="15.75" customHeight="1" x14ac:dyDescent="0.2">
      <c r="E484" s="40"/>
    </row>
    <row r="485" spans="5:5" ht="15.75" customHeight="1" x14ac:dyDescent="0.2">
      <c r="E485" s="40"/>
    </row>
    <row r="486" spans="5:5" ht="15.75" customHeight="1" x14ac:dyDescent="0.2">
      <c r="E486" s="40"/>
    </row>
    <row r="487" spans="5:5" ht="15.75" customHeight="1" x14ac:dyDescent="0.2">
      <c r="E487" s="40"/>
    </row>
    <row r="488" spans="5:5" ht="15.75" customHeight="1" x14ac:dyDescent="0.2">
      <c r="E488" s="40"/>
    </row>
    <row r="489" spans="5:5" ht="15.75" customHeight="1" x14ac:dyDescent="0.2">
      <c r="E489" s="40"/>
    </row>
    <row r="490" spans="5:5" ht="15.75" customHeight="1" x14ac:dyDescent="0.2">
      <c r="E490" s="40"/>
    </row>
    <row r="491" spans="5:5" ht="15.75" customHeight="1" x14ac:dyDescent="0.2">
      <c r="E491" s="40"/>
    </row>
    <row r="492" spans="5:5" ht="15.75" customHeight="1" x14ac:dyDescent="0.2">
      <c r="E492" s="40"/>
    </row>
    <row r="493" spans="5:5" ht="15.75" customHeight="1" x14ac:dyDescent="0.2">
      <c r="E493" s="40"/>
    </row>
    <row r="494" spans="5:5" ht="15.75" customHeight="1" x14ac:dyDescent="0.2">
      <c r="E494" s="40"/>
    </row>
    <row r="495" spans="5:5" ht="15.75" customHeight="1" x14ac:dyDescent="0.2">
      <c r="E495" s="40"/>
    </row>
    <row r="496" spans="5:5" ht="15.75" customHeight="1" x14ac:dyDescent="0.2">
      <c r="E496" s="40"/>
    </row>
    <row r="497" spans="5:5" ht="15.75" customHeight="1" x14ac:dyDescent="0.2">
      <c r="E497" s="40"/>
    </row>
    <row r="498" spans="5:5" ht="15.75" customHeight="1" x14ac:dyDescent="0.2">
      <c r="E498" s="40"/>
    </row>
    <row r="499" spans="5:5" ht="15.75" customHeight="1" x14ac:dyDescent="0.2">
      <c r="E499" s="40"/>
    </row>
    <row r="500" spans="5:5" ht="15.75" customHeight="1" x14ac:dyDescent="0.2">
      <c r="E500" s="40"/>
    </row>
    <row r="501" spans="5:5" ht="15.75" customHeight="1" x14ac:dyDescent="0.2">
      <c r="E501" s="40"/>
    </row>
    <row r="502" spans="5:5" ht="15.75" customHeight="1" x14ac:dyDescent="0.2">
      <c r="E502" s="40"/>
    </row>
    <row r="503" spans="5:5" ht="15.75" customHeight="1" x14ac:dyDescent="0.2">
      <c r="E503" s="40"/>
    </row>
    <row r="504" spans="5:5" ht="15.75" customHeight="1" x14ac:dyDescent="0.2">
      <c r="E504" s="40"/>
    </row>
    <row r="505" spans="5:5" ht="15.75" customHeight="1" x14ac:dyDescent="0.2">
      <c r="E505" s="40"/>
    </row>
    <row r="506" spans="5:5" ht="15.75" customHeight="1" x14ac:dyDescent="0.2">
      <c r="E506" s="40"/>
    </row>
    <row r="507" spans="5:5" ht="15.75" customHeight="1" x14ac:dyDescent="0.2">
      <c r="E507" s="40"/>
    </row>
    <row r="508" spans="5:5" ht="15.75" customHeight="1" x14ac:dyDescent="0.2">
      <c r="E508" s="40"/>
    </row>
    <row r="509" spans="5:5" ht="15.75" customHeight="1" x14ac:dyDescent="0.2">
      <c r="E509" s="40"/>
    </row>
    <row r="510" spans="5:5" ht="15.75" customHeight="1" x14ac:dyDescent="0.2">
      <c r="E510" s="40"/>
    </row>
    <row r="511" spans="5:5" ht="15.75" customHeight="1" x14ac:dyDescent="0.2">
      <c r="E511" s="40"/>
    </row>
    <row r="512" spans="5:5" ht="15.75" customHeight="1" x14ac:dyDescent="0.2">
      <c r="E512" s="40"/>
    </row>
    <row r="513" spans="5:5" ht="15.75" customHeight="1" x14ac:dyDescent="0.2">
      <c r="E513" s="40"/>
    </row>
    <row r="514" spans="5:5" ht="15.75" customHeight="1" x14ac:dyDescent="0.2">
      <c r="E514" s="40"/>
    </row>
    <row r="515" spans="5:5" ht="15.75" customHeight="1" x14ac:dyDescent="0.2">
      <c r="E515" s="40"/>
    </row>
    <row r="516" spans="5:5" ht="15.75" customHeight="1" x14ac:dyDescent="0.2">
      <c r="E516" s="40"/>
    </row>
    <row r="517" spans="5:5" ht="15.75" customHeight="1" x14ac:dyDescent="0.2">
      <c r="E517" s="40"/>
    </row>
    <row r="518" spans="5:5" ht="15.75" customHeight="1" x14ac:dyDescent="0.2">
      <c r="E518" s="40"/>
    </row>
    <row r="519" spans="5:5" ht="15.75" customHeight="1" x14ac:dyDescent="0.2">
      <c r="E519" s="40"/>
    </row>
    <row r="520" spans="5:5" ht="15.75" customHeight="1" x14ac:dyDescent="0.2">
      <c r="E520" s="40"/>
    </row>
    <row r="521" spans="5:5" ht="15.75" customHeight="1" x14ac:dyDescent="0.2">
      <c r="E521" s="40"/>
    </row>
    <row r="522" spans="5:5" ht="15.75" customHeight="1" x14ac:dyDescent="0.2">
      <c r="E522" s="40"/>
    </row>
    <row r="523" spans="5:5" ht="15.75" customHeight="1" x14ac:dyDescent="0.2">
      <c r="E523" s="40"/>
    </row>
    <row r="524" spans="5:5" ht="15.75" customHeight="1" x14ac:dyDescent="0.2">
      <c r="E524" s="40"/>
    </row>
    <row r="525" spans="5:5" ht="15.75" customHeight="1" x14ac:dyDescent="0.2">
      <c r="E525" s="40"/>
    </row>
    <row r="526" spans="5:5" ht="15.75" customHeight="1" x14ac:dyDescent="0.2">
      <c r="E526" s="40"/>
    </row>
    <row r="527" spans="5:5" ht="15.75" customHeight="1" x14ac:dyDescent="0.2">
      <c r="E527" s="40"/>
    </row>
    <row r="528" spans="5:5" ht="15.75" customHeight="1" x14ac:dyDescent="0.2">
      <c r="E528" s="40"/>
    </row>
    <row r="529" spans="5:5" ht="15.75" customHeight="1" x14ac:dyDescent="0.2">
      <c r="E529" s="40"/>
    </row>
    <row r="530" spans="5:5" ht="15.75" customHeight="1" x14ac:dyDescent="0.2">
      <c r="E530" s="40"/>
    </row>
    <row r="531" spans="5:5" ht="15.75" customHeight="1" x14ac:dyDescent="0.2">
      <c r="E531" s="40"/>
    </row>
    <row r="532" spans="5:5" ht="15.75" customHeight="1" x14ac:dyDescent="0.2">
      <c r="E532" s="40"/>
    </row>
    <row r="533" spans="5:5" ht="15.75" customHeight="1" x14ac:dyDescent="0.2">
      <c r="E533" s="40"/>
    </row>
    <row r="534" spans="5:5" ht="15.75" customHeight="1" x14ac:dyDescent="0.2">
      <c r="E534" s="40"/>
    </row>
    <row r="535" spans="5:5" ht="15.75" customHeight="1" x14ac:dyDescent="0.2">
      <c r="E535" s="40"/>
    </row>
    <row r="536" spans="5:5" ht="15.75" customHeight="1" x14ac:dyDescent="0.2">
      <c r="E536" s="40"/>
    </row>
    <row r="537" spans="5:5" ht="15.75" customHeight="1" x14ac:dyDescent="0.2">
      <c r="E537" s="40"/>
    </row>
    <row r="538" spans="5:5" ht="15.75" customHeight="1" x14ac:dyDescent="0.2">
      <c r="E538" s="40"/>
    </row>
    <row r="539" spans="5:5" ht="15.75" customHeight="1" x14ac:dyDescent="0.2">
      <c r="E539" s="40"/>
    </row>
    <row r="540" spans="5:5" ht="15.75" customHeight="1" x14ac:dyDescent="0.2">
      <c r="E540" s="40"/>
    </row>
    <row r="541" spans="5:5" ht="15.75" customHeight="1" x14ac:dyDescent="0.2">
      <c r="E541" s="40"/>
    </row>
    <row r="542" spans="5:5" ht="15.75" customHeight="1" x14ac:dyDescent="0.2">
      <c r="E542" s="40"/>
    </row>
    <row r="543" spans="5:5" ht="15.75" customHeight="1" x14ac:dyDescent="0.2">
      <c r="E543" s="40"/>
    </row>
    <row r="544" spans="5:5" ht="15.75" customHeight="1" x14ac:dyDescent="0.2">
      <c r="E544" s="40"/>
    </row>
    <row r="545" spans="5:5" ht="15.75" customHeight="1" x14ac:dyDescent="0.2">
      <c r="E545" s="40"/>
    </row>
    <row r="546" spans="5:5" ht="15.75" customHeight="1" x14ac:dyDescent="0.2">
      <c r="E546" s="40"/>
    </row>
    <row r="547" spans="5:5" ht="15.75" customHeight="1" x14ac:dyDescent="0.2">
      <c r="E547" s="40"/>
    </row>
    <row r="548" spans="5:5" ht="15.75" customHeight="1" x14ac:dyDescent="0.2">
      <c r="E548" s="40"/>
    </row>
    <row r="549" spans="5:5" ht="15.75" customHeight="1" x14ac:dyDescent="0.2">
      <c r="E549" s="40"/>
    </row>
    <row r="550" spans="5:5" ht="15.75" customHeight="1" x14ac:dyDescent="0.2">
      <c r="E550" s="40"/>
    </row>
    <row r="551" spans="5:5" ht="15.75" customHeight="1" x14ac:dyDescent="0.2">
      <c r="E551" s="40"/>
    </row>
    <row r="552" spans="5:5" ht="15.75" customHeight="1" x14ac:dyDescent="0.2">
      <c r="E552" s="40"/>
    </row>
    <row r="553" spans="5:5" ht="15.75" customHeight="1" x14ac:dyDescent="0.2">
      <c r="E553" s="40"/>
    </row>
    <row r="554" spans="5:5" ht="15.75" customHeight="1" x14ac:dyDescent="0.2">
      <c r="E554" s="40"/>
    </row>
    <row r="555" spans="5:5" ht="15.75" customHeight="1" x14ac:dyDescent="0.2">
      <c r="E555" s="40"/>
    </row>
    <row r="556" spans="5:5" ht="15.75" customHeight="1" x14ac:dyDescent="0.2">
      <c r="E556" s="40"/>
    </row>
    <row r="557" spans="5:5" ht="15.75" customHeight="1" x14ac:dyDescent="0.2">
      <c r="E557" s="40"/>
    </row>
    <row r="558" spans="5:5" ht="15.75" customHeight="1" x14ac:dyDescent="0.2">
      <c r="E558" s="40"/>
    </row>
    <row r="559" spans="5:5" ht="15.75" customHeight="1" x14ac:dyDescent="0.2">
      <c r="E559" s="40"/>
    </row>
    <row r="560" spans="5:5" ht="15.75" customHeight="1" x14ac:dyDescent="0.2">
      <c r="E560" s="40"/>
    </row>
    <row r="561" spans="5:5" ht="15.75" customHeight="1" x14ac:dyDescent="0.2">
      <c r="E561" s="40"/>
    </row>
    <row r="562" spans="5:5" ht="15.75" customHeight="1" x14ac:dyDescent="0.2">
      <c r="E562" s="40"/>
    </row>
    <row r="563" spans="5:5" ht="15.75" customHeight="1" x14ac:dyDescent="0.2">
      <c r="E563" s="40"/>
    </row>
    <row r="564" spans="5:5" ht="15.75" customHeight="1" x14ac:dyDescent="0.2">
      <c r="E564" s="40"/>
    </row>
    <row r="565" spans="5:5" ht="15.75" customHeight="1" x14ac:dyDescent="0.2">
      <c r="E565" s="40"/>
    </row>
    <row r="566" spans="5:5" ht="15.75" customHeight="1" x14ac:dyDescent="0.2">
      <c r="E566" s="40"/>
    </row>
    <row r="567" spans="5:5" ht="15.75" customHeight="1" x14ac:dyDescent="0.2">
      <c r="E567" s="40"/>
    </row>
    <row r="568" spans="5:5" ht="15.75" customHeight="1" x14ac:dyDescent="0.2">
      <c r="E568" s="40"/>
    </row>
    <row r="569" spans="5:5" ht="15.75" customHeight="1" x14ac:dyDescent="0.2">
      <c r="E569" s="40"/>
    </row>
    <row r="570" spans="5:5" ht="15.75" customHeight="1" x14ac:dyDescent="0.2">
      <c r="E570" s="40"/>
    </row>
    <row r="571" spans="5:5" ht="15.75" customHeight="1" x14ac:dyDescent="0.2">
      <c r="E571" s="40"/>
    </row>
    <row r="572" spans="5:5" ht="15.75" customHeight="1" x14ac:dyDescent="0.2">
      <c r="E572" s="40"/>
    </row>
    <row r="573" spans="5:5" ht="15.75" customHeight="1" x14ac:dyDescent="0.2">
      <c r="E573" s="40"/>
    </row>
    <row r="574" spans="5:5" ht="15.75" customHeight="1" x14ac:dyDescent="0.2">
      <c r="E574" s="40"/>
    </row>
    <row r="575" spans="5:5" ht="15.75" customHeight="1" x14ac:dyDescent="0.2">
      <c r="E575" s="40"/>
    </row>
    <row r="576" spans="5:5" ht="15.75" customHeight="1" x14ac:dyDescent="0.2">
      <c r="E576" s="40"/>
    </row>
    <row r="577" spans="5:5" ht="15.75" customHeight="1" x14ac:dyDescent="0.2">
      <c r="E577" s="40"/>
    </row>
    <row r="578" spans="5:5" ht="15.75" customHeight="1" x14ac:dyDescent="0.2">
      <c r="E578" s="40"/>
    </row>
    <row r="579" spans="5:5" ht="15.75" customHeight="1" x14ac:dyDescent="0.2">
      <c r="E579" s="40"/>
    </row>
    <row r="580" spans="5:5" ht="15.75" customHeight="1" x14ac:dyDescent="0.2">
      <c r="E580" s="40"/>
    </row>
    <row r="581" spans="5:5" ht="15.75" customHeight="1" x14ac:dyDescent="0.2">
      <c r="E581" s="40"/>
    </row>
    <row r="582" spans="5:5" ht="15.75" customHeight="1" x14ac:dyDescent="0.2">
      <c r="E582" s="40"/>
    </row>
    <row r="583" spans="5:5" ht="15.75" customHeight="1" x14ac:dyDescent="0.2">
      <c r="E583" s="40"/>
    </row>
    <row r="584" spans="5:5" ht="15.75" customHeight="1" x14ac:dyDescent="0.2">
      <c r="E584" s="40"/>
    </row>
    <row r="585" spans="5:5" ht="15.75" customHeight="1" x14ac:dyDescent="0.2">
      <c r="E585" s="40"/>
    </row>
    <row r="586" spans="5:5" ht="15.75" customHeight="1" x14ac:dyDescent="0.2">
      <c r="E586" s="40"/>
    </row>
    <row r="587" spans="5:5" ht="15.75" customHeight="1" x14ac:dyDescent="0.2">
      <c r="E587" s="40"/>
    </row>
    <row r="588" spans="5:5" ht="15.75" customHeight="1" x14ac:dyDescent="0.2">
      <c r="E588" s="40"/>
    </row>
    <row r="589" spans="5:5" ht="15.75" customHeight="1" x14ac:dyDescent="0.2">
      <c r="E589" s="40"/>
    </row>
    <row r="590" spans="5:5" ht="15.75" customHeight="1" x14ac:dyDescent="0.2">
      <c r="E590" s="40"/>
    </row>
    <row r="591" spans="5:5" ht="15.75" customHeight="1" x14ac:dyDescent="0.2">
      <c r="E591" s="40"/>
    </row>
    <row r="592" spans="5:5" ht="15.75" customHeight="1" x14ac:dyDescent="0.2">
      <c r="E592" s="40"/>
    </row>
    <row r="593" spans="5:5" ht="15.75" customHeight="1" x14ac:dyDescent="0.2">
      <c r="E593" s="40"/>
    </row>
    <row r="594" spans="5:5" ht="15.75" customHeight="1" x14ac:dyDescent="0.2">
      <c r="E594" s="40"/>
    </row>
    <row r="595" spans="5:5" ht="15.75" customHeight="1" x14ac:dyDescent="0.2">
      <c r="E595" s="40"/>
    </row>
    <row r="596" spans="5:5" ht="15.75" customHeight="1" x14ac:dyDescent="0.2">
      <c r="E596" s="40"/>
    </row>
    <row r="597" spans="5:5" ht="15.75" customHeight="1" x14ac:dyDescent="0.2">
      <c r="E597" s="40"/>
    </row>
    <row r="598" spans="5:5" ht="15.75" customHeight="1" x14ac:dyDescent="0.2">
      <c r="E598" s="40"/>
    </row>
    <row r="599" spans="5:5" ht="15.75" customHeight="1" x14ac:dyDescent="0.2">
      <c r="E599" s="40"/>
    </row>
    <row r="600" spans="5:5" ht="15.75" customHeight="1" x14ac:dyDescent="0.2">
      <c r="E600" s="40"/>
    </row>
    <row r="601" spans="5:5" ht="15.75" customHeight="1" x14ac:dyDescent="0.2">
      <c r="E601" s="40"/>
    </row>
    <row r="602" spans="5:5" ht="15.75" customHeight="1" x14ac:dyDescent="0.2">
      <c r="E602" s="40"/>
    </row>
    <row r="603" spans="5:5" ht="15.75" customHeight="1" x14ac:dyDescent="0.2">
      <c r="E603" s="40"/>
    </row>
    <row r="604" spans="5:5" ht="15.75" customHeight="1" x14ac:dyDescent="0.2">
      <c r="E604" s="40"/>
    </row>
    <row r="605" spans="5:5" ht="15.75" customHeight="1" x14ac:dyDescent="0.2">
      <c r="E605" s="40"/>
    </row>
    <row r="606" spans="5:5" ht="15.75" customHeight="1" x14ac:dyDescent="0.2">
      <c r="E606" s="40"/>
    </row>
    <row r="607" spans="5:5" ht="15.75" customHeight="1" x14ac:dyDescent="0.2">
      <c r="E607" s="40"/>
    </row>
    <row r="608" spans="5:5" ht="15.75" customHeight="1" x14ac:dyDescent="0.2">
      <c r="E608" s="40"/>
    </row>
    <row r="609" spans="5:5" ht="15.75" customHeight="1" x14ac:dyDescent="0.2">
      <c r="E609" s="40"/>
    </row>
    <row r="610" spans="5:5" ht="15.75" customHeight="1" x14ac:dyDescent="0.2">
      <c r="E610" s="40"/>
    </row>
    <row r="611" spans="5:5" ht="15.75" customHeight="1" x14ac:dyDescent="0.2">
      <c r="E611" s="40"/>
    </row>
    <row r="612" spans="5:5" ht="15.75" customHeight="1" x14ac:dyDescent="0.2">
      <c r="E612" s="40"/>
    </row>
    <row r="613" spans="5:5" ht="15.75" customHeight="1" x14ac:dyDescent="0.2">
      <c r="E613" s="40"/>
    </row>
    <row r="614" spans="5:5" ht="15.75" customHeight="1" x14ac:dyDescent="0.2">
      <c r="E614" s="40"/>
    </row>
    <row r="615" spans="5:5" ht="15.75" customHeight="1" x14ac:dyDescent="0.2">
      <c r="E615" s="40"/>
    </row>
    <row r="616" spans="5:5" ht="15.75" customHeight="1" x14ac:dyDescent="0.2">
      <c r="E616" s="40"/>
    </row>
    <row r="617" spans="5:5" ht="15.75" customHeight="1" x14ac:dyDescent="0.2">
      <c r="E617" s="40"/>
    </row>
    <row r="618" spans="5:5" ht="15.75" customHeight="1" x14ac:dyDescent="0.2">
      <c r="E618" s="40"/>
    </row>
    <row r="619" spans="5:5" ht="15.75" customHeight="1" x14ac:dyDescent="0.2">
      <c r="E619" s="40"/>
    </row>
    <row r="620" spans="5:5" ht="15.75" customHeight="1" x14ac:dyDescent="0.2">
      <c r="E620" s="40"/>
    </row>
    <row r="621" spans="5:5" ht="15.75" customHeight="1" x14ac:dyDescent="0.2">
      <c r="E621" s="40"/>
    </row>
    <row r="622" spans="5:5" ht="15.75" customHeight="1" x14ac:dyDescent="0.2">
      <c r="E622" s="40"/>
    </row>
    <row r="623" spans="5:5" ht="15.75" customHeight="1" x14ac:dyDescent="0.2">
      <c r="E623" s="40"/>
    </row>
    <row r="624" spans="5:5" ht="15.75" customHeight="1" x14ac:dyDescent="0.2">
      <c r="E624" s="40"/>
    </row>
    <row r="625" spans="5:5" ht="15.75" customHeight="1" x14ac:dyDescent="0.2">
      <c r="E625" s="40"/>
    </row>
    <row r="626" spans="5:5" ht="15.75" customHeight="1" x14ac:dyDescent="0.2">
      <c r="E626" s="40"/>
    </row>
    <row r="627" spans="5:5" ht="15.75" customHeight="1" x14ac:dyDescent="0.2">
      <c r="E627" s="40"/>
    </row>
    <row r="628" spans="5:5" ht="15.75" customHeight="1" x14ac:dyDescent="0.2">
      <c r="E628" s="40"/>
    </row>
    <row r="629" spans="5:5" ht="15.75" customHeight="1" x14ac:dyDescent="0.2">
      <c r="E629" s="40"/>
    </row>
    <row r="630" spans="5:5" ht="15.75" customHeight="1" x14ac:dyDescent="0.2">
      <c r="E630" s="40"/>
    </row>
    <row r="631" spans="5:5" ht="15.75" customHeight="1" x14ac:dyDescent="0.2">
      <c r="E631" s="40"/>
    </row>
    <row r="632" spans="5:5" ht="15.75" customHeight="1" x14ac:dyDescent="0.2">
      <c r="E632" s="40"/>
    </row>
    <row r="633" spans="5:5" ht="15.75" customHeight="1" x14ac:dyDescent="0.2">
      <c r="E633" s="40"/>
    </row>
    <row r="634" spans="5:5" ht="15.75" customHeight="1" x14ac:dyDescent="0.2">
      <c r="E634" s="40"/>
    </row>
    <row r="635" spans="5:5" ht="15.75" customHeight="1" x14ac:dyDescent="0.2">
      <c r="E635" s="40"/>
    </row>
    <row r="636" spans="5:5" ht="15.75" customHeight="1" x14ac:dyDescent="0.2">
      <c r="E636" s="40"/>
    </row>
    <row r="637" spans="5:5" ht="15.75" customHeight="1" x14ac:dyDescent="0.2">
      <c r="E637" s="40"/>
    </row>
    <row r="638" spans="5:5" ht="15.75" customHeight="1" x14ac:dyDescent="0.2">
      <c r="E638" s="40"/>
    </row>
    <row r="639" spans="5:5" ht="15.75" customHeight="1" x14ac:dyDescent="0.2">
      <c r="E639" s="40"/>
    </row>
    <row r="640" spans="5:5" ht="15.75" customHeight="1" x14ac:dyDescent="0.2">
      <c r="E640" s="40"/>
    </row>
    <row r="641" spans="5:5" ht="15.75" customHeight="1" x14ac:dyDescent="0.2">
      <c r="E641" s="40"/>
    </row>
    <row r="642" spans="5:5" ht="15.75" customHeight="1" x14ac:dyDescent="0.2">
      <c r="E642" s="40"/>
    </row>
    <row r="643" spans="5:5" ht="15.75" customHeight="1" x14ac:dyDescent="0.2">
      <c r="E643" s="40"/>
    </row>
    <row r="644" spans="5:5" ht="15.75" customHeight="1" x14ac:dyDescent="0.2">
      <c r="E644" s="40"/>
    </row>
    <row r="645" spans="5:5" ht="15.75" customHeight="1" x14ac:dyDescent="0.2">
      <c r="E645" s="40"/>
    </row>
    <row r="646" spans="5:5" ht="15.75" customHeight="1" x14ac:dyDescent="0.2">
      <c r="E646" s="40"/>
    </row>
    <row r="647" spans="5:5" ht="15.75" customHeight="1" x14ac:dyDescent="0.2">
      <c r="E647" s="40"/>
    </row>
    <row r="648" spans="5:5" ht="15.75" customHeight="1" x14ac:dyDescent="0.2">
      <c r="E648" s="40"/>
    </row>
    <row r="649" spans="5:5" ht="15.75" customHeight="1" x14ac:dyDescent="0.2">
      <c r="E649" s="40"/>
    </row>
    <row r="650" spans="5:5" ht="15.75" customHeight="1" x14ac:dyDescent="0.2">
      <c r="E650" s="40"/>
    </row>
    <row r="651" spans="5:5" ht="15.75" customHeight="1" x14ac:dyDescent="0.2">
      <c r="E651" s="40"/>
    </row>
    <row r="652" spans="5:5" ht="15.75" customHeight="1" x14ac:dyDescent="0.2">
      <c r="E652" s="40"/>
    </row>
    <row r="653" spans="5:5" ht="15.75" customHeight="1" x14ac:dyDescent="0.2">
      <c r="E653" s="40"/>
    </row>
    <row r="654" spans="5:5" ht="15.75" customHeight="1" x14ac:dyDescent="0.2">
      <c r="E654" s="40"/>
    </row>
    <row r="655" spans="5:5" ht="15.75" customHeight="1" x14ac:dyDescent="0.2">
      <c r="E655" s="40"/>
    </row>
    <row r="656" spans="5:5" ht="15.75" customHeight="1" x14ac:dyDescent="0.2">
      <c r="E656" s="40"/>
    </row>
    <row r="657" spans="5:5" ht="15.75" customHeight="1" x14ac:dyDescent="0.2">
      <c r="E657" s="40"/>
    </row>
    <row r="658" spans="5:5" ht="15.75" customHeight="1" x14ac:dyDescent="0.2">
      <c r="E658" s="40"/>
    </row>
    <row r="659" spans="5:5" ht="15.75" customHeight="1" x14ac:dyDescent="0.2">
      <c r="E659" s="40"/>
    </row>
    <row r="660" spans="5:5" ht="15.75" customHeight="1" x14ac:dyDescent="0.2">
      <c r="E660" s="40"/>
    </row>
    <row r="661" spans="5:5" ht="15.75" customHeight="1" x14ac:dyDescent="0.2">
      <c r="E661" s="40"/>
    </row>
    <row r="662" spans="5:5" ht="15.75" customHeight="1" x14ac:dyDescent="0.2">
      <c r="E662" s="40"/>
    </row>
    <row r="663" spans="5:5" ht="15.75" customHeight="1" x14ac:dyDescent="0.2">
      <c r="E663" s="40"/>
    </row>
    <row r="664" spans="5:5" ht="15.75" customHeight="1" x14ac:dyDescent="0.2">
      <c r="E664" s="40"/>
    </row>
    <row r="665" spans="5:5" ht="15.75" customHeight="1" x14ac:dyDescent="0.2">
      <c r="E665" s="40"/>
    </row>
    <row r="666" spans="5:5" ht="15.75" customHeight="1" x14ac:dyDescent="0.2">
      <c r="E666" s="40"/>
    </row>
    <row r="667" spans="5:5" ht="15.75" customHeight="1" x14ac:dyDescent="0.2">
      <c r="E667" s="40"/>
    </row>
    <row r="668" spans="5:5" ht="15.75" customHeight="1" x14ac:dyDescent="0.2">
      <c r="E668" s="40"/>
    </row>
    <row r="669" spans="5:5" ht="15.75" customHeight="1" x14ac:dyDescent="0.2">
      <c r="E669" s="40"/>
    </row>
    <row r="670" spans="5:5" ht="15.75" customHeight="1" x14ac:dyDescent="0.2">
      <c r="E670" s="40"/>
    </row>
    <row r="671" spans="5:5" ht="15.75" customHeight="1" x14ac:dyDescent="0.2">
      <c r="E671" s="40"/>
    </row>
    <row r="672" spans="5:5" ht="15.75" customHeight="1" x14ac:dyDescent="0.2">
      <c r="E672" s="40"/>
    </row>
    <row r="673" spans="5:5" ht="15.75" customHeight="1" x14ac:dyDescent="0.2">
      <c r="E673" s="40"/>
    </row>
    <row r="674" spans="5:5" ht="15.75" customHeight="1" x14ac:dyDescent="0.2">
      <c r="E674" s="40"/>
    </row>
    <row r="675" spans="5:5" ht="15.75" customHeight="1" x14ac:dyDescent="0.2">
      <c r="E675" s="40"/>
    </row>
    <row r="676" spans="5:5" ht="15.75" customHeight="1" x14ac:dyDescent="0.2">
      <c r="E676" s="40"/>
    </row>
    <row r="677" spans="5:5" ht="15.75" customHeight="1" x14ac:dyDescent="0.2">
      <c r="E677" s="40"/>
    </row>
    <row r="678" spans="5:5" ht="15.75" customHeight="1" x14ac:dyDescent="0.2">
      <c r="E678" s="40"/>
    </row>
    <row r="679" spans="5:5" ht="15.75" customHeight="1" x14ac:dyDescent="0.2">
      <c r="E679" s="40"/>
    </row>
    <row r="680" spans="5:5" ht="15.75" customHeight="1" x14ac:dyDescent="0.2">
      <c r="E680" s="40"/>
    </row>
    <row r="681" spans="5:5" ht="15.75" customHeight="1" x14ac:dyDescent="0.2">
      <c r="E681" s="40"/>
    </row>
    <row r="682" spans="5:5" ht="15.75" customHeight="1" x14ac:dyDescent="0.2">
      <c r="E682" s="40"/>
    </row>
    <row r="683" spans="5:5" ht="15.75" customHeight="1" x14ac:dyDescent="0.2">
      <c r="E683" s="40"/>
    </row>
    <row r="684" spans="5:5" ht="15.75" customHeight="1" x14ac:dyDescent="0.2">
      <c r="E684" s="40"/>
    </row>
    <row r="685" spans="5:5" ht="15.75" customHeight="1" x14ac:dyDescent="0.2">
      <c r="E685" s="40"/>
    </row>
    <row r="686" spans="5:5" ht="15.75" customHeight="1" x14ac:dyDescent="0.2">
      <c r="E686" s="40"/>
    </row>
    <row r="687" spans="5:5" ht="15.75" customHeight="1" x14ac:dyDescent="0.2">
      <c r="E687" s="40"/>
    </row>
    <row r="688" spans="5:5" ht="15.75" customHeight="1" x14ac:dyDescent="0.2">
      <c r="E688" s="40"/>
    </row>
    <row r="689" spans="5:5" ht="15.75" customHeight="1" x14ac:dyDescent="0.2">
      <c r="E689" s="40"/>
    </row>
    <row r="690" spans="5:5" ht="15.75" customHeight="1" x14ac:dyDescent="0.2">
      <c r="E690" s="40"/>
    </row>
    <row r="691" spans="5:5" ht="15.75" customHeight="1" x14ac:dyDescent="0.2">
      <c r="E691" s="40"/>
    </row>
    <row r="692" spans="5:5" ht="15.75" customHeight="1" x14ac:dyDescent="0.2">
      <c r="E692" s="40"/>
    </row>
    <row r="693" spans="5:5" ht="15.75" customHeight="1" x14ac:dyDescent="0.2">
      <c r="E693" s="40"/>
    </row>
    <row r="694" spans="5:5" ht="15.75" customHeight="1" x14ac:dyDescent="0.2">
      <c r="E694" s="40"/>
    </row>
    <row r="695" spans="5:5" ht="15.75" customHeight="1" x14ac:dyDescent="0.2">
      <c r="E695" s="40"/>
    </row>
    <row r="696" spans="5:5" ht="15.75" customHeight="1" x14ac:dyDescent="0.2">
      <c r="E696" s="40"/>
    </row>
    <row r="697" spans="5:5" ht="15.75" customHeight="1" x14ac:dyDescent="0.2">
      <c r="E697" s="40"/>
    </row>
    <row r="698" spans="5:5" ht="15.75" customHeight="1" x14ac:dyDescent="0.2">
      <c r="E698" s="40"/>
    </row>
    <row r="699" spans="5:5" ht="15.75" customHeight="1" x14ac:dyDescent="0.2">
      <c r="E699" s="40"/>
    </row>
    <row r="700" spans="5:5" ht="15.75" customHeight="1" x14ac:dyDescent="0.2">
      <c r="E700" s="40"/>
    </row>
    <row r="701" spans="5:5" ht="15.75" customHeight="1" x14ac:dyDescent="0.2">
      <c r="E701" s="40"/>
    </row>
    <row r="702" spans="5:5" ht="15.75" customHeight="1" x14ac:dyDescent="0.2">
      <c r="E702" s="40"/>
    </row>
    <row r="703" spans="5:5" ht="15.75" customHeight="1" x14ac:dyDescent="0.2">
      <c r="E703" s="40"/>
    </row>
    <row r="704" spans="5:5" ht="15.75" customHeight="1" x14ac:dyDescent="0.2">
      <c r="E704" s="40"/>
    </row>
    <row r="705" spans="5:5" ht="15.75" customHeight="1" x14ac:dyDescent="0.2">
      <c r="E705" s="40"/>
    </row>
    <row r="706" spans="5:5" ht="15.75" customHeight="1" x14ac:dyDescent="0.2">
      <c r="E706" s="40"/>
    </row>
    <row r="707" spans="5:5" ht="15.75" customHeight="1" x14ac:dyDescent="0.2">
      <c r="E707" s="40"/>
    </row>
    <row r="708" spans="5:5" ht="15.75" customHeight="1" x14ac:dyDescent="0.2">
      <c r="E708" s="40"/>
    </row>
    <row r="709" spans="5:5" ht="15.75" customHeight="1" x14ac:dyDescent="0.2">
      <c r="E709" s="40"/>
    </row>
    <row r="710" spans="5:5" ht="15.75" customHeight="1" x14ac:dyDescent="0.2">
      <c r="E710" s="40"/>
    </row>
    <row r="711" spans="5:5" ht="15.75" customHeight="1" x14ac:dyDescent="0.2">
      <c r="E711" s="40"/>
    </row>
    <row r="712" spans="5:5" ht="15.75" customHeight="1" x14ac:dyDescent="0.2">
      <c r="E712" s="40"/>
    </row>
    <row r="713" spans="5:5" ht="15.75" customHeight="1" x14ac:dyDescent="0.2">
      <c r="E713" s="40"/>
    </row>
    <row r="714" spans="5:5" ht="15.75" customHeight="1" x14ac:dyDescent="0.2">
      <c r="E714" s="40"/>
    </row>
    <row r="715" spans="5:5" ht="15.75" customHeight="1" x14ac:dyDescent="0.2">
      <c r="E715" s="40"/>
    </row>
    <row r="716" spans="5:5" ht="15.75" customHeight="1" x14ac:dyDescent="0.2">
      <c r="E716" s="40"/>
    </row>
    <row r="717" spans="5:5" ht="15.75" customHeight="1" x14ac:dyDescent="0.2">
      <c r="E717" s="40"/>
    </row>
    <row r="718" spans="5:5" ht="15.75" customHeight="1" x14ac:dyDescent="0.2">
      <c r="E718" s="40"/>
    </row>
    <row r="719" spans="5:5" ht="15.75" customHeight="1" x14ac:dyDescent="0.2">
      <c r="E719" s="40"/>
    </row>
    <row r="720" spans="5:5" ht="15.75" customHeight="1" x14ac:dyDescent="0.2">
      <c r="E720" s="40"/>
    </row>
    <row r="721" spans="5:5" ht="15.75" customHeight="1" x14ac:dyDescent="0.2">
      <c r="E721" s="40"/>
    </row>
    <row r="722" spans="5:5" ht="15.75" customHeight="1" x14ac:dyDescent="0.2">
      <c r="E722" s="40"/>
    </row>
    <row r="723" spans="5:5" ht="15.75" customHeight="1" x14ac:dyDescent="0.2">
      <c r="E723" s="40"/>
    </row>
    <row r="724" spans="5:5" ht="15.75" customHeight="1" x14ac:dyDescent="0.2">
      <c r="E724" s="40"/>
    </row>
    <row r="725" spans="5:5" ht="15.75" customHeight="1" x14ac:dyDescent="0.2">
      <c r="E725" s="40"/>
    </row>
    <row r="726" spans="5:5" ht="15.75" customHeight="1" x14ac:dyDescent="0.2">
      <c r="E726" s="40"/>
    </row>
    <row r="727" spans="5:5" ht="15.75" customHeight="1" x14ac:dyDescent="0.2">
      <c r="E727" s="40"/>
    </row>
    <row r="728" spans="5:5" ht="15.75" customHeight="1" x14ac:dyDescent="0.2">
      <c r="E728" s="40"/>
    </row>
    <row r="729" spans="5:5" ht="15.75" customHeight="1" x14ac:dyDescent="0.2">
      <c r="E729" s="40"/>
    </row>
    <row r="730" spans="5:5" ht="15.75" customHeight="1" x14ac:dyDescent="0.2">
      <c r="E730" s="40"/>
    </row>
    <row r="731" spans="5:5" ht="15.75" customHeight="1" x14ac:dyDescent="0.2">
      <c r="E731" s="40"/>
    </row>
    <row r="732" spans="5:5" ht="15.75" customHeight="1" x14ac:dyDescent="0.2">
      <c r="E732" s="40"/>
    </row>
    <row r="733" spans="5:5" ht="15.75" customHeight="1" x14ac:dyDescent="0.2">
      <c r="E733" s="40"/>
    </row>
    <row r="734" spans="5:5" ht="15.75" customHeight="1" x14ac:dyDescent="0.2">
      <c r="E734" s="40"/>
    </row>
    <row r="735" spans="5:5" ht="15.75" customHeight="1" x14ac:dyDescent="0.2">
      <c r="E735" s="40"/>
    </row>
    <row r="736" spans="5:5" ht="15.75" customHeight="1" x14ac:dyDescent="0.2">
      <c r="E736" s="40"/>
    </row>
    <row r="737" spans="5:5" ht="15.75" customHeight="1" x14ac:dyDescent="0.2">
      <c r="E737" s="40"/>
    </row>
    <row r="738" spans="5:5" ht="15.75" customHeight="1" x14ac:dyDescent="0.2">
      <c r="E738" s="40"/>
    </row>
    <row r="739" spans="5:5" ht="15.75" customHeight="1" x14ac:dyDescent="0.2">
      <c r="E739" s="40"/>
    </row>
    <row r="740" spans="5:5" ht="15.75" customHeight="1" x14ac:dyDescent="0.2">
      <c r="E740" s="40"/>
    </row>
    <row r="741" spans="5:5" ht="15.75" customHeight="1" x14ac:dyDescent="0.2">
      <c r="E741" s="40"/>
    </row>
    <row r="742" spans="5:5" ht="15.75" customHeight="1" x14ac:dyDescent="0.2">
      <c r="E742" s="40"/>
    </row>
    <row r="743" spans="5:5" ht="15.75" customHeight="1" x14ac:dyDescent="0.2">
      <c r="E743" s="40"/>
    </row>
    <row r="744" spans="5:5" ht="15.75" customHeight="1" x14ac:dyDescent="0.2">
      <c r="E744" s="40"/>
    </row>
    <row r="745" spans="5:5" ht="15.75" customHeight="1" x14ac:dyDescent="0.2">
      <c r="E745" s="40"/>
    </row>
    <row r="746" spans="5:5" ht="15.75" customHeight="1" x14ac:dyDescent="0.2">
      <c r="E746" s="40"/>
    </row>
    <row r="747" spans="5:5" ht="15.75" customHeight="1" x14ac:dyDescent="0.2">
      <c r="E747" s="40"/>
    </row>
    <row r="748" spans="5:5" ht="15.75" customHeight="1" x14ac:dyDescent="0.2">
      <c r="E748" s="40"/>
    </row>
    <row r="749" spans="5:5" ht="15.75" customHeight="1" x14ac:dyDescent="0.2">
      <c r="E749" s="40"/>
    </row>
    <row r="750" spans="5:5" ht="15.75" customHeight="1" x14ac:dyDescent="0.2">
      <c r="E750" s="40"/>
    </row>
    <row r="751" spans="5:5" ht="15.75" customHeight="1" x14ac:dyDescent="0.2">
      <c r="E751" s="40"/>
    </row>
    <row r="752" spans="5:5" ht="15.75" customHeight="1" x14ac:dyDescent="0.2">
      <c r="E752" s="40"/>
    </row>
    <row r="753" spans="5:5" ht="15.75" customHeight="1" x14ac:dyDescent="0.2">
      <c r="E753" s="40"/>
    </row>
    <row r="754" spans="5:5" ht="15.75" customHeight="1" x14ac:dyDescent="0.2">
      <c r="E754" s="40"/>
    </row>
    <row r="755" spans="5:5" ht="15.75" customHeight="1" x14ac:dyDescent="0.2">
      <c r="E755" s="40"/>
    </row>
    <row r="756" spans="5:5" ht="15.75" customHeight="1" x14ac:dyDescent="0.2">
      <c r="E756" s="40"/>
    </row>
    <row r="757" spans="5:5" ht="15.75" customHeight="1" x14ac:dyDescent="0.2">
      <c r="E757" s="40"/>
    </row>
    <row r="758" spans="5:5" ht="15.75" customHeight="1" x14ac:dyDescent="0.2">
      <c r="E758" s="40"/>
    </row>
    <row r="759" spans="5:5" ht="15.75" customHeight="1" x14ac:dyDescent="0.2">
      <c r="E759" s="40"/>
    </row>
    <row r="760" spans="5:5" ht="15.75" customHeight="1" x14ac:dyDescent="0.2">
      <c r="E760" s="40"/>
    </row>
    <row r="761" spans="5:5" ht="15.75" customHeight="1" x14ac:dyDescent="0.2">
      <c r="E761" s="40"/>
    </row>
    <row r="762" spans="5:5" ht="15.75" customHeight="1" x14ac:dyDescent="0.2">
      <c r="E762" s="40"/>
    </row>
    <row r="763" spans="5:5" ht="15.75" customHeight="1" x14ac:dyDescent="0.2">
      <c r="E763" s="40"/>
    </row>
    <row r="764" spans="5:5" ht="15.75" customHeight="1" x14ac:dyDescent="0.2">
      <c r="E764" s="40"/>
    </row>
    <row r="765" spans="5:5" ht="15.75" customHeight="1" x14ac:dyDescent="0.2">
      <c r="E765" s="40"/>
    </row>
    <row r="766" spans="5:5" ht="15.75" customHeight="1" x14ac:dyDescent="0.2">
      <c r="E766" s="40"/>
    </row>
    <row r="767" spans="5:5" ht="15.75" customHeight="1" x14ac:dyDescent="0.2">
      <c r="E767" s="40"/>
    </row>
    <row r="768" spans="5:5" ht="15.75" customHeight="1" x14ac:dyDescent="0.2">
      <c r="E768" s="40"/>
    </row>
    <row r="769" spans="5:5" ht="15.75" customHeight="1" x14ac:dyDescent="0.2">
      <c r="E769" s="40"/>
    </row>
    <row r="770" spans="5:5" ht="15.75" customHeight="1" x14ac:dyDescent="0.2">
      <c r="E770" s="40"/>
    </row>
    <row r="771" spans="5:5" ht="15.75" customHeight="1" x14ac:dyDescent="0.2">
      <c r="E771" s="40"/>
    </row>
    <row r="772" spans="5:5" ht="15.75" customHeight="1" x14ac:dyDescent="0.2">
      <c r="E772" s="40"/>
    </row>
    <row r="773" spans="5:5" ht="15.75" customHeight="1" x14ac:dyDescent="0.2">
      <c r="E773" s="40"/>
    </row>
    <row r="774" spans="5:5" ht="15.75" customHeight="1" x14ac:dyDescent="0.2">
      <c r="E774" s="40"/>
    </row>
    <row r="775" spans="5:5" ht="15.75" customHeight="1" x14ac:dyDescent="0.2">
      <c r="E775" s="40"/>
    </row>
    <row r="776" spans="5:5" ht="15.75" customHeight="1" x14ac:dyDescent="0.2">
      <c r="E776" s="40"/>
    </row>
    <row r="777" spans="5:5" ht="15.75" customHeight="1" x14ac:dyDescent="0.2">
      <c r="E777" s="40"/>
    </row>
    <row r="778" spans="5:5" ht="15.75" customHeight="1" x14ac:dyDescent="0.2">
      <c r="E778" s="40"/>
    </row>
    <row r="779" spans="5:5" ht="15.75" customHeight="1" x14ac:dyDescent="0.2">
      <c r="E779" s="40"/>
    </row>
    <row r="780" spans="5:5" ht="15.75" customHeight="1" x14ac:dyDescent="0.2">
      <c r="E780" s="40"/>
    </row>
    <row r="781" spans="5:5" ht="15.75" customHeight="1" x14ac:dyDescent="0.2">
      <c r="E781" s="40"/>
    </row>
    <row r="782" spans="5:5" ht="15.75" customHeight="1" x14ac:dyDescent="0.2">
      <c r="E782" s="40"/>
    </row>
    <row r="783" spans="5:5" ht="15.75" customHeight="1" x14ac:dyDescent="0.2">
      <c r="E783" s="40"/>
    </row>
    <row r="784" spans="5:5" ht="15.75" customHeight="1" x14ac:dyDescent="0.2">
      <c r="E784" s="40"/>
    </row>
    <row r="785" spans="5:5" ht="15.75" customHeight="1" x14ac:dyDescent="0.2">
      <c r="E785" s="40"/>
    </row>
    <row r="786" spans="5:5" ht="15.75" customHeight="1" x14ac:dyDescent="0.2">
      <c r="E786" s="40"/>
    </row>
    <row r="787" spans="5:5" ht="15.75" customHeight="1" x14ac:dyDescent="0.2">
      <c r="E787" s="40"/>
    </row>
    <row r="788" spans="5:5" ht="15.75" customHeight="1" x14ac:dyDescent="0.2">
      <c r="E788" s="40"/>
    </row>
    <row r="789" spans="5:5" ht="15.75" customHeight="1" x14ac:dyDescent="0.2">
      <c r="E789" s="40"/>
    </row>
    <row r="790" spans="5:5" ht="15.75" customHeight="1" x14ac:dyDescent="0.2">
      <c r="E790" s="40"/>
    </row>
    <row r="791" spans="5:5" ht="15.75" customHeight="1" x14ac:dyDescent="0.2">
      <c r="E791" s="40"/>
    </row>
    <row r="792" spans="5:5" ht="15.75" customHeight="1" x14ac:dyDescent="0.2">
      <c r="E792" s="40"/>
    </row>
    <row r="793" spans="5:5" ht="15.75" customHeight="1" x14ac:dyDescent="0.2">
      <c r="E793" s="40"/>
    </row>
    <row r="794" spans="5:5" ht="15.75" customHeight="1" x14ac:dyDescent="0.2">
      <c r="E794" s="40"/>
    </row>
    <row r="795" spans="5:5" ht="15.75" customHeight="1" x14ac:dyDescent="0.2">
      <c r="E795" s="40"/>
    </row>
    <row r="796" spans="5:5" ht="15.75" customHeight="1" x14ac:dyDescent="0.2">
      <c r="E796" s="40"/>
    </row>
    <row r="797" spans="5:5" ht="15.75" customHeight="1" x14ac:dyDescent="0.2">
      <c r="E797" s="40"/>
    </row>
    <row r="798" spans="5:5" ht="15.75" customHeight="1" x14ac:dyDescent="0.2">
      <c r="E798" s="40"/>
    </row>
    <row r="799" spans="5:5" ht="15.75" customHeight="1" x14ac:dyDescent="0.2">
      <c r="E799" s="40"/>
    </row>
    <row r="800" spans="5:5" ht="15.75" customHeight="1" x14ac:dyDescent="0.2">
      <c r="E800" s="40"/>
    </row>
    <row r="801" spans="5:5" ht="15.75" customHeight="1" x14ac:dyDescent="0.2">
      <c r="E801" s="40"/>
    </row>
    <row r="802" spans="5:5" ht="15.75" customHeight="1" x14ac:dyDescent="0.2">
      <c r="E802" s="40"/>
    </row>
    <row r="803" spans="5:5" ht="15.75" customHeight="1" x14ac:dyDescent="0.2">
      <c r="E803" s="40"/>
    </row>
    <row r="804" spans="5:5" ht="15.75" customHeight="1" x14ac:dyDescent="0.2">
      <c r="E804" s="40"/>
    </row>
    <row r="805" spans="5:5" ht="15.75" customHeight="1" x14ac:dyDescent="0.2">
      <c r="E805" s="40"/>
    </row>
    <row r="806" spans="5:5" ht="15.75" customHeight="1" x14ac:dyDescent="0.2">
      <c r="E806" s="40"/>
    </row>
    <row r="807" spans="5:5" ht="15.75" customHeight="1" x14ac:dyDescent="0.2">
      <c r="E807" s="40"/>
    </row>
    <row r="808" spans="5:5" ht="15.75" customHeight="1" x14ac:dyDescent="0.2">
      <c r="E808" s="40"/>
    </row>
    <row r="809" spans="5:5" ht="15.75" customHeight="1" x14ac:dyDescent="0.2">
      <c r="E809" s="40"/>
    </row>
    <row r="810" spans="5:5" ht="15.75" customHeight="1" x14ac:dyDescent="0.2">
      <c r="E810" s="40"/>
    </row>
    <row r="811" spans="5:5" ht="15.75" customHeight="1" x14ac:dyDescent="0.2">
      <c r="E811" s="40"/>
    </row>
    <row r="812" spans="5:5" ht="15.75" customHeight="1" x14ac:dyDescent="0.2">
      <c r="E812" s="40"/>
    </row>
    <row r="813" spans="5:5" ht="15.75" customHeight="1" x14ac:dyDescent="0.2">
      <c r="E813" s="40"/>
    </row>
    <row r="814" spans="5:5" ht="15.75" customHeight="1" x14ac:dyDescent="0.2">
      <c r="E814" s="40"/>
    </row>
    <row r="815" spans="5:5" ht="15.75" customHeight="1" x14ac:dyDescent="0.2">
      <c r="E815" s="40"/>
    </row>
    <row r="816" spans="5:5" ht="15.75" customHeight="1" x14ac:dyDescent="0.2">
      <c r="E816" s="40"/>
    </row>
    <row r="817" spans="5:5" ht="15.75" customHeight="1" x14ac:dyDescent="0.2">
      <c r="E817" s="40"/>
    </row>
    <row r="818" spans="5:5" ht="15.75" customHeight="1" x14ac:dyDescent="0.2">
      <c r="E818" s="40"/>
    </row>
    <row r="819" spans="5:5" ht="15.75" customHeight="1" x14ac:dyDescent="0.2">
      <c r="E819" s="40"/>
    </row>
    <row r="820" spans="5:5" ht="15.75" customHeight="1" x14ac:dyDescent="0.2">
      <c r="E820" s="40"/>
    </row>
    <row r="821" spans="5:5" ht="15.75" customHeight="1" x14ac:dyDescent="0.2">
      <c r="E821" s="40"/>
    </row>
    <row r="822" spans="5:5" ht="15.75" customHeight="1" x14ac:dyDescent="0.2">
      <c r="E822" s="40"/>
    </row>
    <row r="823" spans="5:5" ht="15.75" customHeight="1" x14ac:dyDescent="0.2">
      <c r="E823" s="40"/>
    </row>
    <row r="824" spans="5:5" ht="15.75" customHeight="1" x14ac:dyDescent="0.2">
      <c r="E824" s="40"/>
    </row>
    <row r="825" spans="5:5" ht="15.75" customHeight="1" x14ac:dyDescent="0.2">
      <c r="E825" s="40"/>
    </row>
    <row r="826" spans="5:5" ht="15.75" customHeight="1" x14ac:dyDescent="0.2">
      <c r="E826" s="40"/>
    </row>
    <row r="827" spans="5:5" ht="15.75" customHeight="1" x14ac:dyDescent="0.2">
      <c r="E827" s="40"/>
    </row>
    <row r="828" spans="5:5" ht="15.75" customHeight="1" x14ac:dyDescent="0.2">
      <c r="E828" s="40"/>
    </row>
    <row r="829" spans="5:5" ht="15.75" customHeight="1" x14ac:dyDescent="0.2">
      <c r="E829" s="40"/>
    </row>
    <row r="830" spans="5:5" ht="15.75" customHeight="1" x14ac:dyDescent="0.2">
      <c r="E830" s="40"/>
    </row>
    <row r="831" spans="5:5" ht="15.75" customHeight="1" x14ac:dyDescent="0.2">
      <c r="E831" s="40"/>
    </row>
    <row r="832" spans="5:5" ht="15.75" customHeight="1" x14ac:dyDescent="0.2">
      <c r="E832" s="40"/>
    </row>
    <row r="833" spans="5:5" ht="15.75" customHeight="1" x14ac:dyDescent="0.2">
      <c r="E833" s="40"/>
    </row>
    <row r="834" spans="5:5" ht="15.75" customHeight="1" x14ac:dyDescent="0.2">
      <c r="E834" s="40"/>
    </row>
    <row r="835" spans="5:5" ht="15.75" customHeight="1" x14ac:dyDescent="0.2">
      <c r="E835" s="40"/>
    </row>
    <row r="836" spans="5:5" ht="15.75" customHeight="1" x14ac:dyDescent="0.2">
      <c r="E836" s="40"/>
    </row>
    <row r="837" spans="5:5" ht="15.75" customHeight="1" x14ac:dyDescent="0.2">
      <c r="E837" s="40"/>
    </row>
    <row r="838" spans="5:5" ht="15.75" customHeight="1" x14ac:dyDescent="0.2">
      <c r="E838" s="40"/>
    </row>
    <row r="839" spans="5:5" ht="15.75" customHeight="1" x14ac:dyDescent="0.2">
      <c r="E839" s="40"/>
    </row>
    <row r="840" spans="5:5" ht="15.75" customHeight="1" x14ac:dyDescent="0.2">
      <c r="E840" s="40"/>
    </row>
    <row r="841" spans="5:5" ht="15.75" customHeight="1" x14ac:dyDescent="0.2">
      <c r="E841" s="40"/>
    </row>
    <row r="842" spans="5:5" ht="15.75" customHeight="1" x14ac:dyDescent="0.2">
      <c r="E842" s="40"/>
    </row>
    <row r="843" spans="5:5" ht="15.75" customHeight="1" x14ac:dyDescent="0.2">
      <c r="E843" s="40"/>
    </row>
    <row r="844" spans="5:5" ht="15.75" customHeight="1" x14ac:dyDescent="0.2">
      <c r="E844" s="40"/>
    </row>
    <row r="845" spans="5:5" ht="15.75" customHeight="1" x14ac:dyDescent="0.2">
      <c r="E845" s="40"/>
    </row>
    <row r="846" spans="5:5" ht="15.75" customHeight="1" x14ac:dyDescent="0.2">
      <c r="E846" s="40"/>
    </row>
    <row r="847" spans="5:5" ht="15.75" customHeight="1" x14ac:dyDescent="0.2">
      <c r="E847" s="40"/>
    </row>
    <row r="848" spans="5:5" ht="15.75" customHeight="1" x14ac:dyDescent="0.2">
      <c r="E848" s="40"/>
    </row>
    <row r="849" spans="5:5" ht="15.75" customHeight="1" x14ac:dyDescent="0.2">
      <c r="E849" s="40"/>
    </row>
    <row r="850" spans="5:5" ht="15.75" customHeight="1" x14ac:dyDescent="0.2">
      <c r="E850" s="40"/>
    </row>
    <row r="851" spans="5:5" ht="15.75" customHeight="1" x14ac:dyDescent="0.2">
      <c r="E851" s="40"/>
    </row>
    <row r="852" spans="5:5" ht="15.75" customHeight="1" x14ac:dyDescent="0.2">
      <c r="E852" s="40"/>
    </row>
    <row r="853" spans="5:5" ht="15.75" customHeight="1" x14ac:dyDescent="0.2">
      <c r="E853" s="40"/>
    </row>
    <row r="854" spans="5:5" ht="15.75" customHeight="1" x14ac:dyDescent="0.2">
      <c r="E854" s="40"/>
    </row>
    <row r="855" spans="5:5" ht="15.75" customHeight="1" x14ac:dyDescent="0.2">
      <c r="E855" s="40"/>
    </row>
    <row r="856" spans="5:5" ht="15.75" customHeight="1" x14ac:dyDescent="0.2">
      <c r="E856" s="40"/>
    </row>
    <row r="857" spans="5:5" ht="15.75" customHeight="1" x14ac:dyDescent="0.2">
      <c r="E857" s="40"/>
    </row>
    <row r="858" spans="5:5" ht="15.75" customHeight="1" x14ac:dyDescent="0.2">
      <c r="E858" s="40"/>
    </row>
    <row r="859" spans="5:5" ht="15.75" customHeight="1" x14ac:dyDescent="0.2">
      <c r="E859" s="40"/>
    </row>
    <row r="860" spans="5:5" ht="15.75" customHeight="1" x14ac:dyDescent="0.2">
      <c r="E860" s="40"/>
    </row>
    <row r="861" spans="5:5" ht="15.75" customHeight="1" x14ac:dyDescent="0.2">
      <c r="E861" s="40"/>
    </row>
    <row r="862" spans="5:5" ht="15.75" customHeight="1" x14ac:dyDescent="0.2">
      <c r="E862" s="40"/>
    </row>
    <row r="863" spans="5:5" ht="15.75" customHeight="1" x14ac:dyDescent="0.2">
      <c r="E863" s="40"/>
    </row>
    <row r="864" spans="5:5" ht="15.75" customHeight="1" x14ac:dyDescent="0.2">
      <c r="E864" s="40"/>
    </row>
    <row r="865" spans="5:5" ht="15.75" customHeight="1" x14ac:dyDescent="0.2">
      <c r="E865" s="40"/>
    </row>
    <row r="866" spans="5:5" ht="15.75" customHeight="1" x14ac:dyDescent="0.2">
      <c r="E866" s="40"/>
    </row>
    <row r="867" spans="5:5" ht="15.75" customHeight="1" x14ac:dyDescent="0.2">
      <c r="E867" s="40"/>
    </row>
    <row r="868" spans="5:5" ht="15.75" customHeight="1" x14ac:dyDescent="0.2">
      <c r="E868" s="40"/>
    </row>
    <row r="869" spans="5:5" ht="15.75" customHeight="1" x14ac:dyDescent="0.2">
      <c r="E869" s="40"/>
    </row>
    <row r="870" spans="5:5" ht="15.75" customHeight="1" x14ac:dyDescent="0.2">
      <c r="E870" s="40"/>
    </row>
    <row r="871" spans="5:5" ht="15.75" customHeight="1" x14ac:dyDescent="0.2">
      <c r="E871" s="40"/>
    </row>
    <row r="872" spans="5:5" ht="15.75" customHeight="1" x14ac:dyDescent="0.2">
      <c r="E872" s="40"/>
    </row>
    <row r="873" spans="5:5" ht="15.75" customHeight="1" x14ac:dyDescent="0.2">
      <c r="E873" s="40"/>
    </row>
    <row r="874" spans="5:5" ht="15.75" customHeight="1" x14ac:dyDescent="0.2">
      <c r="E874" s="40"/>
    </row>
    <row r="875" spans="5:5" ht="15.75" customHeight="1" x14ac:dyDescent="0.2">
      <c r="E875" s="40"/>
    </row>
    <row r="876" spans="5:5" ht="15.75" customHeight="1" x14ac:dyDescent="0.2">
      <c r="E876" s="40"/>
    </row>
    <row r="877" spans="5:5" ht="15.75" customHeight="1" x14ac:dyDescent="0.2">
      <c r="E877" s="40"/>
    </row>
    <row r="878" spans="5:5" ht="15.75" customHeight="1" x14ac:dyDescent="0.2">
      <c r="E878" s="40"/>
    </row>
    <row r="879" spans="5:5" ht="15.75" customHeight="1" x14ac:dyDescent="0.2">
      <c r="E879" s="40"/>
    </row>
    <row r="880" spans="5:5" ht="15.75" customHeight="1" x14ac:dyDescent="0.2">
      <c r="E880" s="40"/>
    </row>
    <row r="881" spans="5:5" ht="15.75" customHeight="1" x14ac:dyDescent="0.2">
      <c r="E881" s="40"/>
    </row>
    <row r="882" spans="5:5" ht="15.75" customHeight="1" x14ac:dyDescent="0.2">
      <c r="E882" s="40"/>
    </row>
    <row r="883" spans="5:5" ht="15.75" customHeight="1" x14ac:dyDescent="0.2">
      <c r="E883" s="40"/>
    </row>
    <row r="884" spans="5:5" ht="15.75" customHeight="1" x14ac:dyDescent="0.2">
      <c r="E884" s="40"/>
    </row>
    <row r="885" spans="5:5" ht="15.75" customHeight="1" x14ac:dyDescent="0.2">
      <c r="E885" s="40"/>
    </row>
    <row r="886" spans="5:5" ht="15.75" customHeight="1" x14ac:dyDescent="0.2">
      <c r="E886" s="40"/>
    </row>
    <row r="887" spans="5:5" ht="15.75" customHeight="1" x14ac:dyDescent="0.2">
      <c r="E887" s="40"/>
    </row>
    <row r="888" spans="5:5" ht="15.75" customHeight="1" x14ac:dyDescent="0.2">
      <c r="E888" s="40"/>
    </row>
    <row r="889" spans="5:5" ht="15.75" customHeight="1" x14ac:dyDescent="0.2">
      <c r="E889" s="40"/>
    </row>
    <row r="890" spans="5:5" ht="15.75" customHeight="1" x14ac:dyDescent="0.2">
      <c r="E890" s="40"/>
    </row>
    <row r="891" spans="5:5" ht="15.75" customHeight="1" x14ac:dyDescent="0.2">
      <c r="E891" s="40"/>
    </row>
    <row r="892" spans="5:5" ht="15.75" customHeight="1" x14ac:dyDescent="0.2">
      <c r="E892" s="40"/>
    </row>
    <row r="893" spans="5:5" ht="15.75" customHeight="1" x14ac:dyDescent="0.2">
      <c r="E893" s="40"/>
    </row>
    <row r="894" spans="5:5" ht="15.75" customHeight="1" x14ac:dyDescent="0.2">
      <c r="E894" s="40"/>
    </row>
    <row r="895" spans="5:5" ht="15.75" customHeight="1" x14ac:dyDescent="0.2">
      <c r="E895" s="40"/>
    </row>
    <row r="896" spans="5:5" ht="15.75" customHeight="1" x14ac:dyDescent="0.2">
      <c r="E896" s="40"/>
    </row>
    <row r="897" spans="5:5" ht="15.75" customHeight="1" x14ac:dyDescent="0.2">
      <c r="E897" s="40"/>
    </row>
    <row r="898" spans="5:5" ht="15.75" customHeight="1" x14ac:dyDescent="0.2">
      <c r="E898" s="40"/>
    </row>
    <row r="899" spans="5:5" ht="15.75" customHeight="1" x14ac:dyDescent="0.2">
      <c r="E899" s="40"/>
    </row>
    <row r="900" spans="5:5" ht="15.75" customHeight="1" x14ac:dyDescent="0.2">
      <c r="E900" s="40"/>
    </row>
    <row r="901" spans="5:5" ht="15.75" customHeight="1" x14ac:dyDescent="0.2">
      <c r="E901" s="40"/>
    </row>
    <row r="902" spans="5:5" ht="15.75" customHeight="1" x14ac:dyDescent="0.2">
      <c r="E902" s="40"/>
    </row>
    <row r="903" spans="5:5" ht="15.75" customHeight="1" x14ac:dyDescent="0.2">
      <c r="E903" s="40"/>
    </row>
    <row r="904" spans="5:5" ht="15.75" customHeight="1" x14ac:dyDescent="0.2">
      <c r="E904" s="40"/>
    </row>
    <row r="905" spans="5:5" ht="15.75" customHeight="1" x14ac:dyDescent="0.2">
      <c r="E905" s="40"/>
    </row>
    <row r="906" spans="5:5" ht="15.75" customHeight="1" x14ac:dyDescent="0.2">
      <c r="E906" s="40"/>
    </row>
    <row r="907" spans="5:5" ht="15.75" customHeight="1" x14ac:dyDescent="0.2">
      <c r="E907" s="40"/>
    </row>
    <row r="908" spans="5:5" ht="15.75" customHeight="1" x14ac:dyDescent="0.2">
      <c r="E908" s="40"/>
    </row>
    <row r="909" spans="5:5" ht="15.75" customHeight="1" x14ac:dyDescent="0.2">
      <c r="E909" s="40"/>
    </row>
    <row r="910" spans="5:5" ht="15.75" customHeight="1" x14ac:dyDescent="0.2">
      <c r="E910" s="40"/>
    </row>
    <row r="911" spans="5:5" ht="15.75" customHeight="1" x14ac:dyDescent="0.2">
      <c r="E911" s="40"/>
    </row>
    <row r="912" spans="5:5" ht="15.75" customHeight="1" x14ac:dyDescent="0.2">
      <c r="E912" s="40"/>
    </row>
    <row r="913" spans="5:5" ht="15.75" customHeight="1" x14ac:dyDescent="0.2">
      <c r="E913" s="40"/>
    </row>
    <row r="914" spans="5:5" ht="15.75" customHeight="1" x14ac:dyDescent="0.2">
      <c r="E914" s="40"/>
    </row>
    <row r="915" spans="5:5" ht="15.75" customHeight="1" x14ac:dyDescent="0.2">
      <c r="E915" s="40"/>
    </row>
    <row r="916" spans="5:5" ht="15.75" customHeight="1" x14ac:dyDescent="0.2">
      <c r="E916" s="40"/>
    </row>
    <row r="917" spans="5:5" ht="15.75" customHeight="1" x14ac:dyDescent="0.2">
      <c r="E917" s="40"/>
    </row>
    <row r="918" spans="5:5" ht="15.75" customHeight="1" x14ac:dyDescent="0.2">
      <c r="E918" s="40"/>
    </row>
    <row r="919" spans="5:5" ht="15.75" customHeight="1" x14ac:dyDescent="0.2">
      <c r="E919" s="40"/>
    </row>
    <row r="920" spans="5:5" ht="15.75" customHeight="1" x14ac:dyDescent="0.2">
      <c r="E920" s="40"/>
    </row>
    <row r="921" spans="5:5" ht="15.75" customHeight="1" x14ac:dyDescent="0.2">
      <c r="E921" s="40"/>
    </row>
    <row r="922" spans="5:5" ht="15.75" customHeight="1" x14ac:dyDescent="0.2">
      <c r="E922" s="40"/>
    </row>
    <row r="923" spans="5:5" ht="15.75" customHeight="1" x14ac:dyDescent="0.2">
      <c r="E923" s="40"/>
    </row>
    <row r="924" spans="5:5" ht="15.75" customHeight="1" x14ac:dyDescent="0.2">
      <c r="E924" s="40"/>
    </row>
    <row r="925" spans="5:5" ht="15.75" customHeight="1" x14ac:dyDescent="0.2">
      <c r="E925" s="40"/>
    </row>
    <row r="926" spans="5:5" ht="15.75" customHeight="1" x14ac:dyDescent="0.2">
      <c r="E926" s="40"/>
    </row>
    <row r="927" spans="5:5" ht="15.75" customHeight="1" x14ac:dyDescent="0.2">
      <c r="E927" s="40"/>
    </row>
    <row r="928" spans="5:5" ht="15.75" customHeight="1" x14ac:dyDescent="0.2">
      <c r="E928" s="40"/>
    </row>
    <row r="929" spans="5:5" ht="15.75" customHeight="1" x14ac:dyDescent="0.2">
      <c r="E929" s="40"/>
    </row>
    <row r="930" spans="5:5" ht="15.75" customHeight="1" x14ac:dyDescent="0.2">
      <c r="E930" s="40"/>
    </row>
    <row r="931" spans="5:5" ht="15.75" customHeight="1" x14ac:dyDescent="0.2">
      <c r="E931" s="40"/>
    </row>
    <row r="932" spans="5:5" ht="15.75" customHeight="1" x14ac:dyDescent="0.2">
      <c r="E932" s="40"/>
    </row>
    <row r="933" spans="5:5" ht="15.75" customHeight="1" x14ac:dyDescent="0.2">
      <c r="E933" s="40"/>
    </row>
    <row r="934" spans="5:5" ht="15.75" customHeight="1" x14ac:dyDescent="0.2">
      <c r="E934" s="40"/>
    </row>
    <row r="935" spans="5:5" ht="15.75" customHeight="1" x14ac:dyDescent="0.2">
      <c r="E935" s="40"/>
    </row>
    <row r="936" spans="5:5" ht="15.75" customHeight="1" x14ac:dyDescent="0.2">
      <c r="E936" s="40"/>
    </row>
    <row r="937" spans="5:5" ht="15.75" customHeight="1" x14ac:dyDescent="0.2">
      <c r="E937" s="40"/>
    </row>
    <row r="938" spans="5:5" ht="15.75" customHeight="1" x14ac:dyDescent="0.2">
      <c r="E938" s="40"/>
    </row>
    <row r="939" spans="5:5" ht="15.75" customHeight="1" x14ac:dyDescent="0.2">
      <c r="E939" s="40"/>
    </row>
    <row r="940" spans="5:5" ht="15.75" customHeight="1" x14ac:dyDescent="0.2">
      <c r="E940" s="40"/>
    </row>
    <row r="941" spans="5:5" ht="15.75" customHeight="1" x14ac:dyDescent="0.2">
      <c r="E941" s="40"/>
    </row>
    <row r="942" spans="5:5" ht="15.75" customHeight="1" x14ac:dyDescent="0.2">
      <c r="E942" s="40"/>
    </row>
    <row r="943" spans="5:5" ht="15.75" customHeight="1" x14ac:dyDescent="0.2">
      <c r="E943" s="40"/>
    </row>
    <row r="944" spans="5:5" ht="15.75" customHeight="1" x14ac:dyDescent="0.2">
      <c r="E944" s="40"/>
    </row>
    <row r="945" spans="5:5" ht="15.75" customHeight="1" x14ac:dyDescent="0.2">
      <c r="E945" s="40"/>
    </row>
    <row r="946" spans="5:5" ht="15.75" customHeight="1" x14ac:dyDescent="0.2">
      <c r="E946" s="40"/>
    </row>
    <row r="947" spans="5:5" ht="15.75" customHeight="1" x14ac:dyDescent="0.2">
      <c r="E947" s="40"/>
    </row>
    <row r="948" spans="5:5" ht="15.75" customHeight="1" x14ac:dyDescent="0.2">
      <c r="E948" s="40"/>
    </row>
    <row r="949" spans="5:5" ht="15.75" customHeight="1" x14ac:dyDescent="0.2">
      <c r="E949" s="40"/>
    </row>
    <row r="950" spans="5:5" ht="15.75" customHeight="1" x14ac:dyDescent="0.2">
      <c r="E950" s="40"/>
    </row>
    <row r="951" spans="5:5" ht="15.75" customHeight="1" x14ac:dyDescent="0.2">
      <c r="E951" s="40"/>
    </row>
    <row r="952" spans="5:5" ht="15.75" customHeight="1" x14ac:dyDescent="0.2">
      <c r="E952" s="40"/>
    </row>
    <row r="953" spans="5:5" ht="15.75" customHeight="1" x14ac:dyDescent="0.2">
      <c r="E953" s="40"/>
    </row>
    <row r="954" spans="5:5" ht="15.75" customHeight="1" x14ac:dyDescent="0.2">
      <c r="E954" s="40"/>
    </row>
    <row r="955" spans="5:5" ht="15.75" customHeight="1" x14ac:dyDescent="0.2">
      <c r="E955" s="40"/>
    </row>
    <row r="956" spans="5:5" ht="15.75" customHeight="1" x14ac:dyDescent="0.2">
      <c r="E956" s="40"/>
    </row>
    <row r="957" spans="5:5" ht="15.75" customHeight="1" x14ac:dyDescent="0.2">
      <c r="E957" s="40"/>
    </row>
    <row r="958" spans="5:5" ht="15.75" customHeight="1" x14ac:dyDescent="0.2">
      <c r="E958" s="40"/>
    </row>
    <row r="959" spans="5:5" ht="15.75" customHeight="1" x14ac:dyDescent="0.2">
      <c r="E959" s="40"/>
    </row>
    <row r="960" spans="5:5" ht="15.75" customHeight="1" x14ac:dyDescent="0.2">
      <c r="E960" s="40"/>
    </row>
    <row r="961" spans="5:5" ht="15.75" customHeight="1" x14ac:dyDescent="0.2">
      <c r="E961" s="40"/>
    </row>
    <row r="962" spans="5:5" ht="15.75" customHeight="1" x14ac:dyDescent="0.2">
      <c r="E962" s="40"/>
    </row>
    <row r="963" spans="5:5" ht="15.75" customHeight="1" x14ac:dyDescent="0.2">
      <c r="E963" s="40"/>
    </row>
    <row r="964" spans="5:5" ht="15.75" customHeight="1" x14ac:dyDescent="0.2">
      <c r="E964" s="40"/>
    </row>
    <row r="965" spans="5:5" ht="15.75" customHeight="1" x14ac:dyDescent="0.2">
      <c r="E965" s="40"/>
    </row>
    <row r="966" spans="5:5" ht="15.75" customHeight="1" x14ac:dyDescent="0.2">
      <c r="E966" s="40"/>
    </row>
    <row r="967" spans="5:5" ht="15.75" customHeight="1" x14ac:dyDescent="0.2">
      <c r="E967" s="40"/>
    </row>
    <row r="968" spans="5:5" ht="15.75" customHeight="1" x14ac:dyDescent="0.2">
      <c r="E968" s="40"/>
    </row>
    <row r="969" spans="5:5" ht="15.75" customHeight="1" x14ac:dyDescent="0.2">
      <c r="E969" s="40"/>
    </row>
    <row r="970" spans="5:5" ht="15.75" customHeight="1" x14ac:dyDescent="0.2">
      <c r="E970" s="40"/>
    </row>
    <row r="971" spans="5:5" ht="15.75" customHeight="1" x14ac:dyDescent="0.2">
      <c r="E971" s="40"/>
    </row>
    <row r="972" spans="5:5" ht="15.75" customHeight="1" x14ac:dyDescent="0.2">
      <c r="E972" s="40"/>
    </row>
    <row r="973" spans="5:5" ht="15.75" customHeight="1" x14ac:dyDescent="0.2">
      <c r="E973" s="40"/>
    </row>
    <row r="974" spans="5:5" ht="15.75" customHeight="1" x14ac:dyDescent="0.2">
      <c r="E974" s="40"/>
    </row>
    <row r="975" spans="5:5" ht="15.75" customHeight="1" x14ac:dyDescent="0.2">
      <c r="E975" s="40"/>
    </row>
    <row r="976" spans="5:5" ht="15.75" customHeight="1" x14ac:dyDescent="0.2">
      <c r="E976" s="40"/>
    </row>
    <row r="977" spans="5:5" ht="15.75" customHeight="1" x14ac:dyDescent="0.2">
      <c r="E977" s="40"/>
    </row>
    <row r="978" spans="5:5" ht="15.75" customHeight="1" x14ac:dyDescent="0.2">
      <c r="E978" s="40"/>
    </row>
    <row r="979" spans="5:5" ht="15.75" customHeight="1" x14ac:dyDescent="0.2">
      <c r="E979" s="40"/>
    </row>
    <row r="980" spans="5:5" ht="15.75" customHeight="1" x14ac:dyDescent="0.2">
      <c r="E980" s="40"/>
    </row>
    <row r="981" spans="5:5" ht="15.75" customHeight="1" x14ac:dyDescent="0.2">
      <c r="E981" s="40"/>
    </row>
    <row r="982" spans="5:5" ht="15.75" customHeight="1" x14ac:dyDescent="0.2">
      <c r="E982" s="40"/>
    </row>
    <row r="983" spans="5:5" ht="15.75" customHeight="1" x14ac:dyDescent="0.2">
      <c r="E983" s="40"/>
    </row>
    <row r="984" spans="5:5" ht="15.75" customHeight="1" x14ac:dyDescent="0.2">
      <c r="E984" s="40"/>
    </row>
    <row r="985" spans="5:5" ht="15.75" customHeight="1" x14ac:dyDescent="0.2">
      <c r="E985" s="40"/>
    </row>
    <row r="986" spans="5:5" ht="15.75" customHeight="1" x14ac:dyDescent="0.2">
      <c r="E986" s="40"/>
    </row>
    <row r="987" spans="5:5" ht="15.75" customHeight="1" x14ac:dyDescent="0.2">
      <c r="E987" s="40"/>
    </row>
    <row r="988" spans="5:5" ht="15.75" customHeight="1" x14ac:dyDescent="0.2">
      <c r="E988" s="40"/>
    </row>
    <row r="989" spans="5:5" ht="15.75" customHeight="1" x14ac:dyDescent="0.2">
      <c r="E989" s="40"/>
    </row>
    <row r="990" spans="5:5" ht="15.75" customHeight="1" x14ac:dyDescent="0.2">
      <c r="E990" s="40"/>
    </row>
    <row r="991" spans="5:5" ht="15.75" customHeight="1" x14ac:dyDescent="0.2">
      <c r="E991" s="40"/>
    </row>
    <row r="992" spans="5:5" ht="15.75" customHeight="1" x14ac:dyDescent="0.2">
      <c r="E992" s="40"/>
    </row>
    <row r="993" spans="5:5" ht="15.75" customHeight="1" x14ac:dyDescent="0.2">
      <c r="E993" s="40"/>
    </row>
    <row r="994" spans="5:5" ht="15.75" customHeight="1" x14ac:dyDescent="0.2">
      <c r="E994" s="40"/>
    </row>
    <row r="995" spans="5:5" ht="15.75" customHeight="1" x14ac:dyDescent="0.2">
      <c r="E995" s="40"/>
    </row>
    <row r="996" spans="5:5" ht="15.75" customHeight="1" x14ac:dyDescent="0.2">
      <c r="E996" s="40"/>
    </row>
    <row r="997" spans="5:5" ht="15.75" customHeight="1" x14ac:dyDescent="0.2">
      <c r="E997" s="40"/>
    </row>
    <row r="998" spans="5:5" ht="15.75" customHeight="1" x14ac:dyDescent="0.2">
      <c r="E998" s="40"/>
    </row>
    <row r="999" spans="5:5" ht="15.75" customHeight="1" x14ac:dyDescent="0.2">
      <c r="E999" s="40"/>
    </row>
    <row r="1000" spans="5:5" ht="15.75" customHeight="1" x14ac:dyDescent="0.2">
      <c r="E1000" s="40"/>
    </row>
  </sheetData>
  <mergeCells count="4">
    <mergeCell ref="A15:J15"/>
    <mergeCell ref="D2:H2"/>
    <mergeCell ref="A13:J13"/>
    <mergeCell ref="A5:J5"/>
  </mergeCells>
  <hyperlinks>
    <hyperlink ref="D8" r:id="rId1" xr:uid="{00000000-0004-0000-0F00-000000000000}"/>
    <hyperlink ref="K8" r:id="rId2" xr:uid="{00000000-0004-0000-0F00-000001000000}"/>
    <hyperlink ref="D9" r:id="rId3" xr:uid="{00000000-0004-0000-0F00-000002000000}"/>
    <hyperlink ref="K9" r:id="rId4" xr:uid="{00000000-0004-0000-0F00-000003000000}"/>
    <hyperlink ref="D10" r:id="rId5" xr:uid="{00000000-0004-0000-0F00-000004000000}"/>
    <hyperlink ref="K10" r:id="rId6" xr:uid="{00000000-0004-0000-0F00-000005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topLeftCell="A8" workbookViewId="0"/>
  </sheetViews>
  <sheetFormatPr baseColWidth="10" defaultColWidth="12.5703125" defaultRowHeight="15" customHeight="1" x14ac:dyDescent="0.2"/>
  <cols>
    <col min="1" max="3" width="19.140625" style="71" customWidth="1"/>
    <col min="4" max="4" width="21.85546875" style="71" customWidth="1"/>
    <col min="5" max="5" width="24.85546875" style="71" customWidth="1"/>
    <col min="6" max="6" width="17" style="71" customWidth="1"/>
    <col min="7" max="7" width="18" style="71" customWidth="1"/>
    <col min="8" max="8" width="17" style="71" customWidth="1"/>
    <col min="9" max="10" width="19.140625" style="71" customWidth="1"/>
    <col min="11" max="11" width="17.7109375" style="71" customWidth="1"/>
    <col min="12" max="26" width="10" style="71" customWidth="1"/>
  </cols>
  <sheetData>
    <row r="1" spans="1:26" ht="12.75" customHeight="1" x14ac:dyDescent="0.2"/>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103" t="s">
        <v>167</v>
      </c>
      <c r="M7" s="12"/>
      <c r="N7" s="12"/>
      <c r="O7" s="12"/>
      <c r="P7" s="12"/>
      <c r="Q7" s="12"/>
      <c r="R7" s="12"/>
      <c r="S7" s="12"/>
      <c r="T7" s="12"/>
      <c r="U7" s="12"/>
      <c r="V7" s="12"/>
      <c r="W7" s="12"/>
      <c r="X7" s="12"/>
      <c r="Y7" s="12"/>
      <c r="Z7" s="12"/>
    </row>
    <row r="8" spans="1:26" ht="107.25" customHeight="1" x14ac:dyDescent="0.2">
      <c r="A8" s="145" t="s">
        <v>168</v>
      </c>
      <c r="B8" s="146" t="s">
        <v>127</v>
      </c>
      <c r="C8" s="39"/>
      <c r="D8" s="105" t="s">
        <v>308</v>
      </c>
      <c r="E8" s="147" t="s">
        <v>309</v>
      </c>
      <c r="F8" s="148">
        <v>400000</v>
      </c>
      <c r="G8" s="148">
        <v>400000</v>
      </c>
      <c r="H8" s="149">
        <f>F8/3900</f>
        <v>102.56410256410257</v>
      </c>
      <c r="I8" s="150">
        <f>H8*3900</f>
        <v>400000</v>
      </c>
      <c r="J8" s="151" t="s">
        <v>171</v>
      </c>
      <c r="K8" s="147" t="s">
        <v>310</v>
      </c>
      <c r="L8" s="112" t="s">
        <v>195</v>
      </c>
    </row>
    <row r="9" spans="1:26" ht="121.5" customHeight="1" x14ac:dyDescent="0.2">
      <c r="A9" s="145" t="s">
        <v>174</v>
      </c>
      <c r="B9" s="146" t="s">
        <v>311</v>
      </c>
      <c r="C9" s="39"/>
      <c r="D9" s="105" t="s">
        <v>312</v>
      </c>
      <c r="E9" s="147" t="s">
        <v>313</v>
      </c>
      <c r="F9" s="148">
        <v>463000</v>
      </c>
      <c r="G9" s="148">
        <v>463000</v>
      </c>
      <c r="H9" s="149">
        <f>F9/3900</f>
        <v>118.71794871794872</v>
      </c>
      <c r="I9" s="150">
        <f>H9*3900</f>
        <v>463000</v>
      </c>
      <c r="J9" s="151" t="s">
        <v>171</v>
      </c>
      <c r="K9" s="147" t="s">
        <v>314</v>
      </c>
      <c r="L9" s="112" t="s">
        <v>195</v>
      </c>
    </row>
    <row r="10" spans="1:26" ht="117.75" customHeight="1" x14ac:dyDescent="0.2">
      <c r="A10" s="145" t="s">
        <v>179</v>
      </c>
      <c r="B10" s="146" t="s">
        <v>315</v>
      </c>
      <c r="C10" s="39"/>
      <c r="D10" s="105" t="s">
        <v>316</v>
      </c>
      <c r="E10" s="147" t="s">
        <v>317</v>
      </c>
      <c r="F10" s="148">
        <v>650000</v>
      </c>
      <c r="G10" s="148">
        <v>650000</v>
      </c>
      <c r="H10" s="149">
        <f>F10/3900</f>
        <v>166.66666666666666</v>
      </c>
      <c r="I10" s="150">
        <f>H10*3900</f>
        <v>650000</v>
      </c>
      <c r="J10" s="151" t="s">
        <v>171</v>
      </c>
      <c r="K10" s="147" t="s">
        <v>318</v>
      </c>
      <c r="L10" s="112" t="s">
        <v>195</v>
      </c>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1000-000000000000}"/>
    <hyperlink ref="D9" r:id="rId2" xr:uid="{00000000-0004-0000-1000-000001000000}"/>
    <hyperlink ref="D10" r:id="rId3" xr:uid="{00000000-0004-0000-1000-000002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A8" workbookViewId="0"/>
  </sheetViews>
  <sheetFormatPr baseColWidth="10" defaultColWidth="12.5703125" defaultRowHeight="15" customHeight="1" x14ac:dyDescent="0.2"/>
  <cols>
    <col min="1" max="3" width="19.140625" style="71" customWidth="1"/>
    <col min="4" max="4" width="21.85546875" style="71" customWidth="1"/>
    <col min="5" max="5" width="28.28515625" style="71" customWidth="1"/>
    <col min="6" max="6" width="17" style="71" customWidth="1"/>
    <col min="7" max="7" width="18" style="71" customWidth="1"/>
    <col min="8" max="8" width="17" style="71" customWidth="1"/>
    <col min="9" max="10" width="19.140625" style="71" customWidth="1"/>
    <col min="11" max="11" width="20.140625" style="71" customWidth="1"/>
    <col min="12" max="26" width="10" style="71" customWidth="1"/>
  </cols>
  <sheetData>
    <row r="1" spans="1:26" ht="12.75" customHeight="1" x14ac:dyDescent="0.2">
      <c r="A1" s="8"/>
    </row>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41"/>
      <c r="M7" s="12"/>
      <c r="N7" s="12"/>
      <c r="O7" s="12"/>
      <c r="P7" s="12"/>
      <c r="Q7" s="12"/>
      <c r="R7" s="12"/>
      <c r="S7" s="12"/>
      <c r="T7" s="12"/>
      <c r="U7" s="12"/>
      <c r="V7" s="12"/>
      <c r="W7" s="12"/>
      <c r="X7" s="12"/>
      <c r="Y7" s="12"/>
      <c r="Z7" s="12"/>
    </row>
    <row r="8" spans="1:26" ht="101.25" customHeight="1" x14ac:dyDescent="0.2">
      <c r="A8" s="145" t="s">
        <v>168</v>
      </c>
      <c r="B8" s="146" t="s">
        <v>132</v>
      </c>
      <c r="C8" s="39"/>
      <c r="D8" s="105" t="s">
        <v>319</v>
      </c>
      <c r="E8" s="147" t="s">
        <v>320</v>
      </c>
      <c r="F8" s="148">
        <v>0</v>
      </c>
      <c r="G8" s="148">
        <v>0</v>
      </c>
      <c r="H8" s="149">
        <f>F8/3900</f>
        <v>0</v>
      </c>
      <c r="I8" s="150">
        <f>H8*3900</f>
        <v>0</v>
      </c>
      <c r="J8" s="151" t="s">
        <v>171</v>
      </c>
      <c r="K8" s="105" t="s">
        <v>321</v>
      </c>
      <c r="L8" s="152" t="s">
        <v>322</v>
      </c>
    </row>
    <row r="9" spans="1:26" ht="113.25" customHeight="1" x14ac:dyDescent="0.2">
      <c r="A9" s="145" t="s">
        <v>174</v>
      </c>
      <c r="B9" s="146" t="s">
        <v>323</v>
      </c>
      <c r="C9" s="39"/>
      <c r="D9" s="105" t="s">
        <v>324</v>
      </c>
      <c r="E9" s="147" t="s">
        <v>325</v>
      </c>
      <c r="F9" s="148">
        <v>0</v>
      </c>
      <c r="G9" s="148">
        <v>0</v>
      </c>
      <c r="H9" s="149">
        <f>F9/3900</f>
        <v>0</v>
      </c>
      <c r="I9" s="150">
        <f>H9*3900</f>
        <v>0</v>
      </c>
      <c r="J9" s="151" t="s">
        <v>171</v>
      </c>
      <c r="K9" s="105" t="s">
        <v>326</v>
      </c>
      <c r="L9" s="152" t="s">
        <v>322</v>
      </c>
    </row>
    <row r="10" spans="1:26" ht="116.25" customHeight="1" x14ac:dyDescent="0.2">
      <c r="A10" s="145" t="s">
        <v>179</v>
      </c>
      <c r="B10" s="146" t="s">
        <v>137</v>
      </c>
      <c r="C10" s="39"/>
      <c r="D10" s="105" t="s">
        <v>327</v>
      </c>
      <c r="E10" s="147" t="s">
        <v>328</v>
      </c>
      <c r="F10" s="148">
        <v>0</v>
      </c>
      <c r="G10" s="148">
        <v>0</v>
      </c>
      <c r="H10" s="149">
        <f>F10/3900</f>
        <v>0</v>
      </c>
      <c r="I10" s="150">
        <f>H10*3900</f>
        <v>0</v>
      </c>
      <c r="J10" s="151" t="s">
        <v>171</v>
      </c>
      <c r="K10" s="105" t="s">
        <v>329</v>
      </c>
      <c r="L10" s="152" t="s">
        <v>330</v>
      </c>
    </row>
    <row r="11" spans="1:26" hidden="1" x14ac:dyDescent="0.2">
      <c r="A11" s="17"/>
      <c r="B11" s="29"/>
      <c r="C11" s="29"/>
      <c r="D11" s="29"/>
      <c r="E11" s="29"/>
      <c r="F11" s="29"/>
      <c r="G11" s="153">
        <f>F11+E11</f>
        <v>0</v>
      </c>
      <c r="H11" s="29"/>
      <c r="I11" s="29"/>
      <c r="J11" s="29"/>
    </row>
    <row r="12" spans="1:26" ht="12.75" customHeight="1" x14ac:dyDescent="0.2">
      <c r="G12" s="42"/>
    </row>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1100-000000000000}"/>
    <hyperlink ref="K8" r:id="rId2" xr:uid="{00000000-0004-0000-1100-000001000000}"/>
    <hyperlink ref="D9" r:id="rId3" xr:uid="{00000000-0004-0000-1100-000002000000}"/>
    <hyperlink ref="K9" r:id="rId4" xr:uid="{00000000-0004-0000-1100-000003000000}"/>
    <hyperlink ref="D10" r:id="rId5" xr:uid="{00000000-0004-0000-1100-000004000000}"/>
    <hyperlink ref="K10" r:id="rId6" xr:uid="{00000000-0004-0000-1100-000005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8" workbookViewId="0"/>
  </sheetViews>
  <sheetFormatPr baseColWidth="10" defaultColWidth="12.5703125" defaultRowHeight="15" customHeight="1" x14ac:dyDescent="0.2"/>
  <cols>
    <col min="1" max="3" width="19.140625" style="71" customWidth="1"/>
    <col min="4" max="4" width="21.85546875" style="71" customWidth="1"/>
    <col min="5" max="5" width="33.5703125" style="71" customWidth="1"/>
    <col min="6" max="6" width="17" style="71" customWidth="1"/>
    <col min="7" max="7" width="18" style="71" customWidth="1"/>
    <col min="8" max="8" width="17" style="71" customWidth="1"/>
    <col min="9" max="10" width="19.140625" style="71" customWidth="1"/>
    <col min="11" max="11" width="20.28515625" style="71" customWidth="1"/>
    <col min="12" max="26" width="10" style="71" customWidth="1"/>
  </cols>
  <sheetData>
    <row r="1" spans="1:26" ht="12.75" customHeight="1" x14ac:dyDescent="0.2">
      <c r="A1" s="8"/>
    </row>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41"/>
      <c r="M7" s="12"/>
      <c r="N7" s="12"/>
      <c r="O7" s="12"/>
      <c r="P7" s="12"/>
      <c r="Q7" s="12"/>
      <c r="R7" s="12"/>
      <c r="S7" s="12"/>
      <c r="T7" s="12"/>
      <c r="U7" s="12"/>
      <c r="V7" s="12"/>
      <c r="W7" s="12"/>
      <c r="X7" s="12"/>
      <c r="Y7" s="12"/>
      <c r="Z7" s="12"/>
    </row>
    <row r="8" spans="1:26" ht="103.5" customHeight="1" x14ac:dyDescent="0.2">
      <c r="A8" s="145" t="s">
        <v>168</v>
      </c>
      <c r="B8" s="146" t="s">
        <v>137</v>
      </c>
      <c r="C8" s="39"/>
      <c r="D8" s="105" t="s">
        <v>331</v>
      </c>
      <c r="E8" s="118" t="s">
        <v>332</v>
      </c>
      <c r="F8" s="148">
        <v>0</v>
      </c>
      <c r="G8" s="148">
        <v>0</v>
      </c>
      <c r="H8" s="149">
        <f>F8/3900</f>
        <v>0</v>
      </c>
      <c r="I8" s="150">
        <f>H8*3900</f>
        <v>0</v>
      </c>
      <c r="J8" s="151" t="s">
        <v>171</v>
      </c>
      <c r="K8" s="105" t="s">
        <v>333</v>
      </c>
      <c r="L8" s="152" t="s">
        <v>334</v>
      </c>
    </row>
    <row r="9" spans="1:26" ht="109.5" customHeight="1" x14ac:dyDescent="0.2">
      <c r="A9" s="145" t="s">
        <v>174</v>
      </c>
      <c r="B9" s="146" t="s">
        <v>137</v>
      </c>
      <c r="C9" s="39"/>
      <c r="D9" s="105" t="s">
        <v>335</v>
      </c>
      <c r="E9" s="118" t="s">
        <v>336</v>
      </c>
      <c r="F9" s="148">
        <v>0</v>
      </c>
      <c r="G9" s="148">
        <v>0</v>
      </c>
      <c r="H9" s="149">
        <f>F9/3900</f>
        <v>0</v>
      </c>
      <c r="I9" s="150">
        <f>H9*3900</f>
        <v>0</v>
      </c>
      <c r="J9" s="151" t="s">
        <v>171</v>
      </c>
      <c r="K9" s="105" t="s">
        <v>337</v>
      </c>
      <c r="L9" s="152" t="s">
        <v>322</v>
      </c>
    </row>
    <row r="10" spans="1:26" ht="109.5" customHeight="1" x14ac:dyDescent="0.2">
      <c r="A10" s="145" t="s">
        <v>179</v>
      </c>
      <c r="B10" s="146" t="s">
        <v>338</v>
      </c>
      <c r="C10" s="39"/>
      <c r="D10" s="105" t="s">
        <v>339</v>
      </c>
      <c r="E10" s="118" t="s">
        <v>340</v>
      </c>
      <c r="F10" s="148">
        <v>0</v>
      </c>
      <c r="G10" s="148">
        <v>0</v>
      </c>
      <c r="H10" s="149">
        <f>F10/3900</f>
        <v>0</v>
      </c>
      <c r="I10" s="150">
        <f>H10*3900</f>
        <v>0</v>
      </c>
      <c r="J10" s="151" t="s">
        <v>171</v>
      </c>
      <c r="K10" s="105" t="s">
        <v>341</v>
      </c>
      <c r="L10" s="152" t="s">
        <v>322</v>
      </c>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1200-000000000000}"/>
    <hyperlink ref="K8" r:id="rId2" xr:uid="{00000000-0004-0000-1200-000001000000}"/>
    <hyperlink ref="D9" r:id="rId3" xr:uid="{00000000-0004-0000-1200-000002000000}"/>
    <hyperlink ref="K9" r:id="rId4" xr:uid="{00000000-0004-0000-1200-000003000000}"/>
    <hyperlink ref="D10" r:id="rId5" xr:uid="{00000000-0004-0000-1200-000004000000}"/>
    <hyperlink ref="K10" r:id="rId6" xr:uid="{00000000-0004-0000-1200-000005000000}"/>
  </hyperlinks>
  <pageMargins left="0.7" right="0.7" top="0.75" bottom="0.75" header="0" footer="0"/>
  <pageSetup orientation="landscape"/>
  <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8" workbookViewId="0"/>
  </sheetViews>
  <sheetFormatPr baseColWidth="10" defaultColWidth="12.5703125" defaultRowHeight="15" customHeight="1" x14ac:dyDescent="0.2"/>
  <cols>
    <col min="1" max="3" width="19.140625" style="71" customWidth="1"/>
    <col min="4" max="4" width="21.85546875" style="71" customWidth="1"/>
    <col min="5" max="5" width="24.7109375" style="71" customWidth="1"/>
    <col min="6" max="6" width="17" style="71" customWidth="1"/>
    <col min="7" max="7" width="18" style="71" customWidth="1"/>
    <col min="8" max="8" width="17" style="71" customWidth="1"/>
    <col min="9" max="10" width="19.140625" style="71" customWidth="1"/>
    <col min="11" max="11" width="23.7109375" style="71" customWidth="1"/>
    <col min="12" max="26" width="10" style="71" customWidth="1"/>
  </cols>
  <sheetData>
    <row r="1" spans="1:26" ht="12.75" customHeight="1" x14ac:dyDescent="0.2">
      <c r="A1" s="8"/>
    </row>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271</v>
      </c>
      <c r="C7" s="143" t="s">
        <v>272</v>
      </c>
      <c r="D7" s="143" t="s">
        <v>273</v>
      </c>
      <c r="E7" s="143" t="s">
        <v>274</v>
      </c>
      <c r="F7" s="144" t="s">
        <v>275</v>
      </c>
      <c r="G7" s="144" t="s">
        <v>276</v>
      </c>
      <c r="H7" s="144" t="s">
        <v>277</v>
      </c>
      <c r="I7" s="143" t="s">
        <v>164</v>
      </c>
      <c r="J7" s="143" t="s">
        <v>278</v>
      </c>
      <c r="K7" s="143" t="s">
        <v>279</v>
      </c>
      <c r="L7" s="41"/>
      <c r="M7" s="12"/>
      <c r="N7" s="12"/>
      <c r="O7" s="12"/>
      <c r="P7" s="12"/>
      <c r="Q7" s="12"/>
      <c r="R7" s="12"/>
      <c r="S7" s="12"/>
      <c r="T7" s="12"/>
      <c r="U7" s="12"/>
      <c r="V7" s="12"/>
      <c r="W7" s="12"/>
      <c r="X7" s="12"/>
      <c r="Y7" s="12"/>
      <c r="Z7" s="12"/>
    </row>
    <row r="8" spans="1:26" ht="119.25" customHeight="1" x14ac:dyDescent="0.2">
      <c r="A8" s="145" t="s">
        <v>168</v>
      </c>
      <c r="B8" s="146" t="s">
        <v>142</v>
      </c>
      <c r="C8" s="39"/>
      <c r="D8" s="105" t="s">
        <v>342</v>
      </c>
      <c r="E8" s="147" t="s">
        <v>343</v>
      </c>
      <c r="F8" s="148">
        <v>769999</v>
      </c>
      <c r="G8" s="148">
        <v>769999</v>
      </c>
      <c r="H8" s="149">
        <f>F8/3900</f>
        <v>197.43564102564102</v>
      </c>
      <c r="I8" s="150">
        <f>H8*3900</f>
        <v>769999</v>
      </c>
      <c r="J8" s="151" t="s">
        <v>171</v>
      </c>
      <c r="K8" s="147" t="s">
        <v>344</v>
      </c>
      <c r="L8" s="152" t="s">
        <v>345</v>
      </c>
    </row>
    <row r="9" spans="1:26" ht="112.5" customHeight="1" x14ac:dyDescent="0.2">
      <c r="A9" s="145" t="s">
        <v>174</v>
      </c>
      <c r="B9" s="146" t="s">
        <v>346</v>
      </c>
      <c r="C9" s="39"/>
      <c r="D9" s="105" t="s">
        <v>347</v>
      </c>
      <c r="E9" s="118" t="s">
        <v>348</v>
      </c>
      <c r="F9" s="148">
        <v>0</v>
      </c>
      <c r="G9" s="148">
        <v>0</v>
      </c>
      <c r="H9" s="149">
        <f>F9/3900</f>
        <v>0</v>
      </c>
      <c r="I9" s="150">
        <f>H9*3900</f>
        <v>0</v>
      </c>
      <c r="J9" s="151" t="s">
        <v>171</v>
      </c>
      <c r="K9" s="105" t="s">
        <v>349</v>
      </c>
      <c r="L9" s="152" t="s">
        <v>322</v>
      </c>
    </row>
    <row r="10" spans="1:26" ht="116.25" customHeight="1" x14ac:dyDescent="0.2">
      <c r="A10" s="145" t="s">
        <v>179</v>
      </c>
      <c r="B10" s="146" t="s">
        <v>350</v>
      </c>
      <c r="C10" s="39"/>
      <c r="D10" s="105" t="s">
        <v>351</v>
      </c>
      <c r="E10" s="147" t="s">
        <v>352</v>
      </c>
      <c r="F10" s="148">
        <v>0</v>
      </c>
      <c r="G10" s="148">
        <v>0</v>
      </c>
      <c r="H10" s="149">
        <f>F10/3900</f>
        <v>0</v>
      </c>
      <c r="I10" s="150">
        <f>H10*3900</f>
        <v>0</v>
      </c>
      <c r="J10" s="151" t="s">
        <v>171</v>
      </c>
      <c r="K10" s="147" t="s">
        <v>353</v>
      </c>
      <c r="L10" s="152" t="s">
        <v>354</v>
      </c>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1300-000000000000}"/>
    <hyperlink ref="D9" r:id="rId2" xr:uid="{00000000-0004-0000-1300-000001000000}"/>
    <hyperlink ref="K9" r:id="rId3" xr:uid="{00000000-0004-0000-1300-000002000000}"/>
    <hyperlink ref="D10" r:id="rId4" xr:uid="{00000000-0004-0000-1300-000003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topLeftCell="A10" workbookViewId="0"/>
  </sheetViews>
  <sheetFormatPr baseColWidth="10" defaultColWidth="12.5703125" defaultRowHeight="15" customHeight="1" x14ac:dyDescent="0.2"/>
  <cols>
    <col min="1" max="3" width="19.140625" style="71" customWidth="1"/>
    <col min="4" max="4" width="21.85546875" style="71" customWidth="1"/>
    <col min="5" max="5" width="28.7109375" style="71" customWidth="1"/>
    <col min="6" max="6" width="17" style="71" customWidth="1"/>
    <col min="7" max="7" width="18" style="71" customWidth="1"/>
    <col min="8" max="8" width="17" style="71" customWidth="1"/>
    <col min="9" max="10" width="19.140625" style="71" customWidth="1"/>
    <col min="11" max="11" width="31.28515625" style="71" customWidth="1"/>
    <col min="12" max="26" width="10" style="71" customWidth="1"/>
  </cols>
  <sheetData>
    <row r="1" spans="1:26" ht="12.75" customHeight="1" x14ac:dyDescent="0.2">
      <c r="A1" s="8"/>
    </row>
    <row r="2" spans="1:26" ht="27.75" customHeight="1" x14ac:dyDescent="0.2">
      <c r="D2" s="175" t="s">
        <v>154</v>
      </c>
      <c r="E2" s="176"/>
      <c r="F2" s="176"/>
      <c r="G2" s="176"/>
      <c r="H2" s="176"/>
    </row>
    <row r="3" spans="1:26" ht="12.75" customHeight="1" x14ac:dyDescent="0.2"/>
    <row r="4" spans="1:26" ht="12.75" customHeight="1" x14ac:dyDescent="0.2"/>
    <row r="5" spans="1:26" ht="43.5" customHeight="1" x14ac:dyDescent="0.2">
      <c r="A5" s="178" t="s">
        <v>155</v>
      </c>
      <c r="B5" s="172"/>
      <c r="C5" s="172"/>
      <c r="D5" s="172"/>
      <c r="E5" s="172"/>
      <c r="F5" s="172"/>
      <c r="G5" s="172"/>
      <c r="H5" s="172"/>
      <c r="I5" s="172"/>
      <c r="J5" s="173"/>
    </row>
    <row r="6" spans="1:26" ht="15.75" customHeight="1" x14ac:dyDescent="0.2"/>
    <row r="7" spans="1:26" ht="75.75" customHeight="1" x14ac:dyDescent="0.2">
      <c r="A7" s="73" t="s">
        <v>270</v>
      </c>
      <c r="B7" s="142" t="s">
        <v>81</v>
      </c>
      <c r="C7" s="143" t="s">
        <v>272</v>
      </c>
      <c r="D7" s="143" t="s">
        <v>273</v>
      </c>
      <c r="E7" s="143" t="s">
        <v>355</v>
      </c>
      <c r="F7" s="144" t="s">
        <v>275</v>
      </c>
      <c r="G7" s="144" t="s">
        <v>276</v>
      </c>
      <c r="H7" s="144" t="s">
        <v>277</v>
      </c>
      <c r="I7" s="144" t="s">
        <v>164</v>
      </c>
      <c r="J7" s="143" t="s">
        <v>356</v>
      </c>
      <c r="K7" s="143" t="s">
        <v>279</v>
      </c>
      <c r="L7" s="41"/>
      <c r="M7" s="12"/>
      <c r="N7" s="12"/>
      <c r="O7" s="12"/>
      <c r="P7" s="12"/>
      <c r="Q7" s="12"/>
      <c r="R7" s="12"/>
      <c r="S7" s="12"/>
      <c r="T7" s="12"/>
      <c r="U7" s="12"/>
      <c r="V7" s="12"/>
      <c r="W7" s="12"/>
      <c r="X7" s="12"/>
      <c r="Y7" s="12"/>
      <c r="Z7" s="12"/>
    </row>
    <row r="8" spans="1:26" ht="97.5" customHeight="1" x14ac:dyDescent="0.2">
      <c r="A8" s="145" t="s">
        <v>168</v>
      </c>
      <c r="B8" s="146" t="s">
        <v>137</v>
      </c>
      <c r="C8" s="43"/>
      <c r="D8" s="105" t="s">
        <v>357</v>
      </c>
      <c r="E8" s="105" t="s">
        <v>358</v>
      </c>
      <c r="F8" s="148">
        <v>0</v>
      </c>
      <c r="G8" s="148">
        <v>0</v>
      </c>
      <c r="H8" s="149">
        <f>F8/3900</f>
        <v>0</v>
      </c>
      <c r="I8" s="148">
        <f>H8*3900</f>
        <v>0</v>
      </c>
      <c r="J8" s="151" t="s">
        <v>171</v>
      </c>
      <c r="K8" s="105" t="s">
        <v>359</v>
      </c>
      <c r="L8" s="152" t="s">
        <v>322</v>
      </c>
    </row>
    <row r="9" spans="1:26" ht="115.5" customHeight="1" x14ac:dyDescent="0.2">
      <c r="A9" s="145" t="s">
        <v>174</v>
      </c>
      <c r="B9" s="146" t="s">
        <v>137</v>
      </c>
      <c r="C9" s="43"/>
      <c r="D9" s="105" t="s">
        <v>357</v>
      </c>
      <c r="E9" s="105" t="s">
        <v>360</v>
      </c>
      <c r="F9" s="148">
        <v>0</v>
      </c>
      <c r="G9" s="148">
        <v>0</v>
      </c>
      <c r="H9" s="149">
        <f>F9/3900</f>
        <v>0</v>
      </c>
      <c r="I9" s="148">
        <f>H9*3900</f>
        <v>0</v>
      </c>
      <c r="J9" s="151" t="s">
        <v>171</v>
      </c>
      <c r="K9" s="105" t="s">
        <v>361</v>
      </c>
      <c r="L9" s="152" t="s">
        <v>362</v>
      </c>
    </row>
    <row r="10" spans="1:26" ht="106.5" customHeight="1" x14ac:dyDescent="0.2">
      <c r="A10" s="145" t="s">
        <v>179</v>
      </c>
      <c r="B10" s="146" t="s">
        <v>363</v>
      </c>
      <c r="C10" s="43"/>
      <c r="D10" s="105" t="s">
        <v>364</v>
      </c>
      <c r="E10" s="105" t="s">
        <v>365</v>
      </c>
      <c r="F10" s="148">
        <v>0</v>
      </c>
      <c r="G10" s="148">
        <v>0</v>
      </c>
      <c r="H10" s="149">
        <f>F10/3900</f>
        <v>0</v>
      </c>
      <c r="I10" s="148">
        <f>H10*3900</f>
        <v>0</v>
      </c>
      <c r="J10" s="151" t="s">
        <v>171</v>
      </c>
      <c r="K10" s="105" t="s">
        <v>366</v>
      </c>
      <c r="L10" s="152" t="s">
        <v>322</v>
      </c>
    </row>
    <row r="11" spans="1:26" hidden="1" x14ac:dyDescent="0.2">
      <c r="A11" s="17"/>
      <c r="B11" s="29"/>
      <c r="C11" s="29"/>
      <c r="D11" s="29"/>
      <c r="E11" s="29"/>
      <c r="F11" s="29"/>
      <c r="G11" s="29"/>
      <c r="H11" s="29"/>
      <c r="I11" s="29"/>
      <c r="J11" s="29"/>
    </row>
    <row r="12" spans="1:26" ht="12.75" customHeight="1" x14ac:dyDescent="0.2"/>
    <row r="13" spans="1:26" ht="138.75" customHeight="1" x14ac:dyDescent="0.2">
      <c r="A13" s="177" t="s">
        <v>184</v>
      </c>
      <c r="B13" s="172"/>
      <c r="C13" s="172"/>
      <c r="D13" s="172"/>
      <c r="E13" s="172"/>
      <c r="F13" s="172"/>
      <c r="G13" s="172"/>
      <c r="H13" s="172"/>
      <c r="I13" s="172"/>
      <c r="J13" s="173"/>
    </row>
    <row r="14" spans="1:26" ht="12.75" customHeight="1" x14ac:dyDescent="0.2"/>
    <row r="15" spans="1:26" ht="75" customHeight="1" x14ac:dyDescent="0.2">
      <c r="A15" s="171" t="s">
        <v>185</v>
      </c>
      <c r="B15" s="172"/>
      <c r="C15" s="172"/>
      <c r="D15" s="172"/>
      <c r="E15" s="172"/>
      <c r="F15" s="172"/>
      <c r="G15" s="172"/>
      <c r="H15" s="172"/>
      <c r="I15" s="172"/>
      <c r="J15" s="173"/>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20"/>
      <c r="E26" s="20"/>
      <c r="F26" s="8"/>
      <c r="G26" s="8"/>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5:J15"/>
    <mergeCell ref="D2:H2"/>
    <mergeCell ref="A13:J13"/>
    <mergeCell ref="A5:J5"/>
  </mergeCells>
  <hyperlinks>
    <hyperlink ref="D8" r:id="rId1" xr:uid="{00000000-0004-0000-1400-000000000000}"/>
    <hyperlink ref="E8" r:id="rId2" xr:uid="{00000000-0004-0000-1400-000001000000}"/>
    <hyperlink ref="K8" r:id="rId3" xr:uid="{00000000-0004-0000-1400-000002000000}"/>
    <hyperlink ref="D9" r:id="rId4" xr:uid="{00000000-0004-0000-1400-000003000000}"/>
    <hyperlink ref="E9" r:id="rId5" xr:uid="{00000000-0004-0000-1400-000004000000}"/>
    <hyperlink ref="K9" r:id="rId6" xr:uid="{00000000-0004-0000-1400-000005000000}"/>
    <hyperlink ref="D10" r:id="rId7" xr:uid="{00000000-0004-0000-1400-000006000000}"/>
    <hyperlink ref="E10" r:id="rId8" xr:uid="{00000000-0004-0000-1400-000007000000}"/>
    <hyperlink ref="K10" r:id="rId9" xr:uid="{00000000-0004-0000-1400-000008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994"/>
  <sheetViews>
    <sheetView tabSelected="1" zoomScale="57" zoomScaleNormal="57" workbookViewId="0"/>
  </sheetViews>
  <sheetFormatPr baseColWidth="10" defaultColWidth="12.5703125" defaultRowHeight="15" customHeight="1" x14ac:dyDescent="0.2"/>
  <cols>
    <col min="1" max="2" width="19.140625" style="71" customWidth="1"/>
    <col min="3" max="3" width="21.85546875" style="71" customWidth="1"/>
    <col min="4" max="4" width="47.7109375" style="71" customWidth="1"/>
    <col min="5" max="5" width="17" style="71" customWidth="1"/>
    <col min="6" max="6" width="18" style="71" customWidth="1"/>
    <col min="7" max="7" width="17" style="71" customWidth="1"/>
    <col min="8" max="9" width="19.140625" style="71" customWidth="1"/>
    <col min="10" max="10" width="41.28515625" style="71" customWidth="1"/>
    <col min="11" max="11" width="20.140625" style="71" customWidth="1"/>
    <col min="12" max="25" width="10" style="71" customWidth="1"/>
  </cols>
  <sheetData>
    <row r="1" spans="1:25" ht="12.75" customHeight="1" x14ac:dyDescent="0.2">
      <c r="A1" s="8"/>
    </row>
    <row r="2" spans="1:25" ht="27.75" customHeight="1" x14ac:dyDescent="0.2">
      <c r="C2" s="175" t="s">
        <v>154</v>
      </c>
      <c r="D2" s="176"/>
      <c r="E2" s="176"/>
      <c r="F2" s="176"/>
      <c r="G2" s="176"/>
      <c r="H2" s="176"/>
      <c r="I2" s="176"/>
    </row>
    <row r="3" spans="1:25" ht="12.75" customHeight="1" x14ac:dyDescent="0.2"/>
    <row r="4" spans="1:25" ht="12.75" customHeight="1" x14ac:dyDescent="0.2"/>
    <row r="5" spans="1:25" ht="43.5" customHeight="1" x14ac:dyDescent="0.2">
      <c r="A5" s="178" t="s">
        <v>367</v>
      </c>
      <c r="B5" s="172"/>
      <c r="C5" s="172"/>
      <c r="D5" s="172"/>
      <c r="E5" s="172"/>
      <c r="F5" s="172"/>
      <c r="G5" s="172"/>
      <c r="H5" s="172"/>
      <c r="I5" s="172"/>
      <c r="J5" s="172"/>
      <c r="K5" s="173"/>
    </row>
    <row r="6" spans="1:25" ht="75.75" customHeight="1" x14ac:dyDescent="0.2">
      <c r="A6" s="73" t="s">
        <v>270</v>
      </c>
      <c r="B6" s="142" t="s">
        <v>81</v>
      </c>
      <c r="C6" s="154" t="s">
        <v>273</v>
      </c>
      <c r="D6" s="154" t="s">
        <v>355</v>
      </c>
      <c r="E6" s="155" t="s">
        <v>275</v>
      </c>
      <c r="F6" s="155" t="s">
        <v>276</v>
      </c>
      <c r="G6" s="155" t="s">
        <v>277</v>
      </c>
      <c r="H6" s="155" t="s">
        <v>164</v>
      </c>
      <c r="I6" s="154" t="s">
        <v>356</v>
      </c>
      <c r="J6" s="154" t="s">
        <v>279</v>
      </c>
      <c r="K6" s="41"/>
      <c r="L6" s="12"/>
      <c r="M6" s="12"/>
      <c r="N6" s="12"/>
      <c r="O6" s="12"/>
      <c r="P6" s="12"/>
      <c r="Q6" s="12"/>
      <c r="R6" s="12"/>
      <c r="S6" s="12"/>
      <c r="T6" s="12"/>
      <c r="U6" s="12"/>
      <c r="V6" s="12"/>
      <c r="W6" s="12"/>
      <c r="X6" s="12"/>
      <c r="Y6" s="12"/>
    </row>
    <row r="7" spans="1:25" ht="82.5" customHeight="1" x14ac:dyDescent="0.2">
      <c r="A7" s="145" t="s">
        <v>168</v>
      </c>
      <c r="B7" s="156" t="s">
        <v>58</v>
      </c>
      <c r="C7" s="157" t="s">
        <v>368</v>
      </c>
      <c r="D7" s="158" t="s">
        <v>369</v>
      </c>
      <c r="E7" s="159">
        <v>0</v>
      </c>
      <c r="F7" s="160">
        <v>0</v>
      </c>
      <c r="G7" s="161">
        <v>0</v>
      </c>
      <c r="H7" s="161">
        <f>E7/3900</f>
        <v>0</v>
      </c>
      <c r="I7" s="112">
        <f>H7*3900</f>
        <v>0</v>
      </c>
      <c r="J7" s="162" t="s">
        <v>370</v>
      </c>
      <c r="K7" s="163" t="s">
        <v>371</v>
      </c>
    </row>
    <row r="8" spans="1:25" ht="84.75" customHeight="1" x14ac:dyDescent="0.2">
      <c r="A8" s="145" t="s">
        <v>174</v>
      </c>
      <c r="B8" s="156" t="s">
        <v>372</v>
      </c>
      <c r="C8" s="157" t="s">
        <v>373</v>
      </c>
      <c r="D8" s="158" t="s">
        <v>374</v>
      </c>
      <c r="E8" s="159">
        <v>0</v>
      </c>
      <c r="F8" s="164">
        <v>0</v>
      </c>
      <c r="G8" s="161">
        <v>0</v>
      </c>
      <c r="H8" s="161">
        <f>E8/3900</f>
        <v>0</v>
      </c>
      <c r="I8" s="112">
        <f>H8*3900</f>
        <v>0</v>
      </c>
      <c r="J8" s="165" t="s">
        <v>370</v>
      </c>
      <c r="K8" s="163" t="s">
        <v>375</v>
      </c>
    </row>
    <row r="9" spans="1:25" ht="50.25" customHeight="1" x14ac:dyDescent="0.2">
      <c r="A9" s="145" t="s">
        <v>179</v>
      </c>
      <c r="B9" s="156" t="s">
        <v>376</v>
      </c>
      <c r="C9" s="157" t="s">
        <v>377</v>
      </c>
      <c r="D9" s="166" t="s">
        <v>378</v>
      </c>
      <c r="E9" s="159">
        <v>0</v>
      </c>
      <c r="F9" s="160">
        <v>0</v>
      </c>
      <c r="G9" s="161">
        <v>0</v>
      </c>
      <c r="H9" s="161">
        <f>E9/3900</f>
        <v>0</v>
      </c>
      <c r="I9" s="112">
        <f>H9*3900</f>
        <v>0</v>
      </c>
      <c r="J9" s="167" t="s">
        <v>370</v>
      </c>
      <c r="K9" s="163" t="s">
        <v>379</v>
      </c>
    </row>
    <row r="10" spans="1:25" ht="12.75" customHeight="1" x14ac:dyDescent="0.2"/>
    <row r="11" spans="1:25" ht="39" customHeight="1" x14ac:dyDescent="0.2">
      <c r="A11" s="178" t="s">
        <v>380</v>
      </c>
      <c r="B11" s="172"/>
      <c r="C11" s="172"/>
      <c r="D11" s="172"/>
      <c r="E11" s="172"/>
      <c r="F11" s="172"/>
      <c r="G11" s="172"/>
      <c r="H11" s="172"/>
      <c r="I11" s="172"/>
      <c r="J11" s="172"/>
      <c r="K11" s="173"/>
    </row>
    <row r="12" spans="1:25" ht="73.5" customHeight="1" x14ac:dyDescent="0.2">
      <c r="A12" s="73" t="s">
        <v>270</v>
      </c>
      <c r="B12" s="142" t="s">
        <v>81</v>
      </c>
      <c r="C12" s="154" t="s">
        <v>273</v>
      </c>
      <c r="D12" s="154" t="s">
        <v>355</v>
      </c>
      <c r="E12" s="155" t="s">
        <v>275</v>
      </c>
      <c r="F12" s="155" t="s">
        <v>276</v>
      </c>
      <c r="G12" s="155" t="s">
        <v>277</v>
      </c>
      <c r="H12" s="155" t="s">
        <v>164</v>
      </c>
      <c r="I12" s="154" t="s">
        <v>356</v>
      </c>
      <c r="J12" s="154" t="s">
        <v>279</v>
      </c>
      <c r="K12" s="41"/>
    </row>
    <row r="13" spans="1:25" ht="84" customHeight="1" x14ac:dyDescent="0.2">
      <c r="A13" s="145" t="s">
        <v>168</v>
      </c>
      <c r="B13" s="156" t="s">
        <v>381</v>
      </c>
      <c r="C13" s="157" t="s">
        <v>382</v>
      </c>
      <c r="D13" s="168" t="s">
        <v>383</v>
      </c>
      <c r="E13" s="159">
        <v>0</v>
      </c>
      <c r="F13" s="160">
        <v>0</v>
      </c>
      <c r="G13" s="161">
        <v>0</v>
      </c>
      <c r="H13" s="161">
        <f>E13/3900</f>
        <v>0</v>
      </c>
      <c r="I13" s="112">
        <f>H13*3900</f>
        <v>0</v>
      </c>
      <c r="J13" s="151" t="s">
        <v>370</v>
      </c>
      <c r="K13" s="163" t="s">
        <v>384</v>
      </c>
    </row>
    <row r="14" spans="1:25" ht="58.5" customHeight="1" x14ac:dyDescent="0.2">
      <c r="A14" s="145" t="s">
        <v>174</v>
      </c>
      <c r="B14" s="156" t="s">
        <v>60</v>
      </c>
      <c r="C14" s="157" t="s">
        <v>385</v>
      </c>
      <c r="D14" s="158" t="s">
        <v>386</v>
      </c>
      <c r="E14" s="159">
        <v>0</v>
      </c>
      <c r="F14" s="160">
        <v>0</v>
      </c>
      <c r="G14" s="161">
        <v>0</v>
      </c>
      <c r="H14" s="161">
        <f>E14/3900</f>
        <v>0</v>
      </c>
      <c r="I14" s="112">
        <f>H14*3900</f>
        <v>0</v>
      </c>
      <c r="J14" s="165" t="s">
        <v>370</v>
      </c>
      <c r="K14" s="163" t="s">
        <v>387</v>
      </c>
    </row>
    <row r="15" spans="1:25" ht="91.5" customHeight="1" x14ac:dyDescent="0.2">
      <c r="A15" s="151" t="s">
        <v>179</v>
      </c>
      <c r="B15" s="112" t="s">
        <v>388</v>
      </c>
      <c r="C15" s="157" t="s">
        <v>389</v>
      </c>
      <c r="D15" s="158" t="s">
        <v>390</v>
      </c>
      <c r="E15" s="159">
        <v>0</v>
      </c>
      <c r="F15" s="160">
        <v>0</v>
      </c>
      <c r="G15" s="161">
        <v>0</v>
      </c>
      <c r="H15" s="161">
        <f>E15/3900</f>
        <v>0</v>
      </c>
      <c r="I15" s="112">
        <f>H15*3900</f>
        <v>0</v>
      </c>
      <c r="J15" s="165" t="s">
        <v>370</v>
      </c>
      <c r="K15" s="163" t="s">
        <v>391</v>
      </c>
    </row>
    <row r="16" spans="1:25" ht="12.75" customHeight="1" x14ac:dyDescent="0.2"/>
    <row r="17" spans="1:11" ht="40.5" customHeight="1" x14ac:dyDescent="0.2">
      <c r="A17" s="183" t="s">
        <v>392</v>
      </c>
      <c r="B17" s="172"/>
      <c r="C17" s="172"/>
      <c r="D17" s="172"/>
      <c r="E17" s="172"/>
      <c r="F17" s="172"/>
      <c r="G17" s="172"/>
      <c r="H17" s="172"/>
      <c r="I17" s="172"/>
      <c r="J17" s="172"/>
      <c r="K17" s="173"/>
    </row>
    <row r="18" spans="1:11" ht="78" customHeight="1" x14ac:dyDescent="0.2">
      <c r="A18" s="154" t="s">
        <v>270</v>
      </c>
      <c r="B18" s="154" t="s">
        <v>81</v>
      </c>
      <c r="C18" s="154" t="s">
        <v>273</v>
      </c>
      <c r="D18" s="154" t="s">
        <v>355</v>
      </c>
      <c r="E18" s="155" t="s">
        <v>275</v>
      </c>
      <c r="F18" s="155" t="s">
        <v>276</v>
      </c>
      <c r="G18" s="155" t="s">
        <v>277</v>
      </c>
      <c r="H18" s="155" t="s">
        <v>164</v>
      </c>
      <c r="I18" s="154" t="s">
        <v>356</v>
      </c>
      <c r="J18" s="154" t="s">
        <v>279</v>
      </c>
      <c r="K18" s="41"/>
    </row>
    <row r="19" spans="1:11" ht="69.75" customHeight="1" x14ac:dyDescent="0.2">
      <c r="A19" s="151" t="s">
        <v>168</v>
      </c>
      <c r="B19" s="112" t="s">
        <v>393</v>
      </c>
      <c r="C19" s="157" t="s">
        <v>394</v>
      </c>
      <c r="D19" s="158" t="s">
        <v>395</v>
      </c>
      <c r="E19" s="159">
        <v>0</v>
      </c>
      <c r="F19" s="164">
        <v>0</v>
      </c>
      <c r="G19" s="161">
        <v>0</v>
      </c>
      <c r="H19" s="161">
        <f>E19/3900</f>
        <v>0</v>
      </c>
      <c r="I19" s="112">
        <f>H19*3900</f>
        <v>0</v>
      </c>
      <c r="J19" s="151" t="s">
        <v>370</v>
      </c>
      <c r="K19" s="163" t="s">
        <v>396</v>
      </c>
    </row>
    <row r="20" spans="1:11" ht="51" customHeight="1" x14ac:dyDescent="0.2">
      <c r="A20" s="151" t="s">
        <v>174</v>
      </c>
      <c r="B20" s="112" t="s">
        <v>397</v>
      </c>
      <c r="C20" s="157" t="s">
        <v>327</v>
      </c>
      <c r="D20" s="158" t="s">
        <v>398</v>
      </c>
      <c r="E20" s="159">
        <v>0</v>
      </c>
      <c r="F20" s="164">
        <v>0</v>
      </c>
      <c r="G20" s="161">
        <v>0</v>
      </c>
      <c r="H20" s="161">
        <f>E20/3900</f>
        <v>0</v>
      </c>
      <c r="I20" s="112">
        <f>H20*3900</f>
        <v>0</v>
      </c>
      <c r="J20" s="165" t="s">
        <v>370</v>
      </c>
      <c r="K20" s="163" t="s">
        <v>399</v>
      </c>
    </row>
    <row r="21" spans="1:11" ht="51" customHeight="1" x14ac:dyDescent="0.2">
      <c r="A21" s="151" t="s">
        <v>179</v>
      </c>
      <c r="B21" s="112" t="s">
        <v>381</v>
      </c>
      <c r="C21" s="157" t="s">
        <v>382</v>
      </c>
      <c r="D21" s="158" t="s">
        <v>400</v>
      </c>
      <c r="E21" s="159">
        <v>0</v>
      </c>
      <c r="F21" s="160">
        <v>0</v>
      </c>
      <c r="G21" s="161">
        <v>0</v>
      </c>
      <c r="H21" s="161">
        <f>E21/3900</f>
        <v>0</v>
      </c>
      <c r="I21" s="112">
        <f>H21*3900</f>
        <v>0</v>
      </c>
      <c r="J21" s="165" t="s">
        <v>370</v>
      </c>
      <c r="K21" s="163" t="s">
        <v>401</v>
      </c>
    </row>
    <row r="22" spans="1:11" ht="12.75" customHeight="1" x14ac:dyDescent="0.2"/>
    <row r="23" spans="1:11" ht="39.75" customHeight="1" x14ac:dyDescent="0.2">
      <c r="A23" s="183" t="s">
        <v>402</v>
      </c>
      <c r="B23" s="172"/>
      <c r="C23" s="172"/>
      <c r="D23" s="172"/>
      <c r="E23" s="172"/>
      <c r="F23" s="172"/>
      <c r="G23" s="172"/>
      <c r="H23" s="172"/>
      <c r="I23" s="172"/>
      <c r="J23" s="172"/>
      <c r="K23" s="173"/>
    </row>
    <row r="24" spans="1:11" ht="63.75" customHeight="1" x14ac:dyDescent="0.2">
      <c r="A24" s="154" t="s">
        <v>270</v>
      </c>
      <c r="B24" s="154" t="s">
        <v>81</v>
      </c>
      <c r="C24" s="154" t="s">
        <v>273</v>
      </c>
      <c r="D24" s="154" t="s">
        <v>355</v>
      </c>
      <c r="E24" s="155" t="s">
        <v>275</v>
      </c>
      <c r="F24" s="155" t="s">
        <v>276</v>
      </c>
      <c r="G24" s="155" t="s">
        <v>277</v>
      </c>
      <c r="H24" s="155" t="s">
        <v>164</v>
      </c>
      <c r="I24" s="154" t="s">
        <v>356</v>
      </c>
      <c r="J24" s="154" t="s">
        <v>279</v>
      </c>
      <c r="K24" s="41"/>
    </row>
    <row r="25" spans="1:11" ht="49.5" customHeight="1" x14ac:dyDescent="0.2">
      <c r="A25" s="151" t="s">
        <v>168</v>
      </c>
      <c r="B25" s="112" t="s">
        <v>403</v>
      </c>
      <c r="C25" s="157" t="s">
        <v>404</v>
      </c>
      <c r="D25" s="158" t="s">
        <v>405</v>
      </c>
      <c r="E25" s="159">
        <v>0</v>
      </c>
      <c r="F25" s="164">
        <v>0</v>
      </c>
      <c r="G25" s="161">
        <v>0</v>
      </c>
      <c r="H25" s="161">
        <f>E25/3900</f>
        <v>0</v>
      </c>
      <c r="I25" s="112">
        <f>H25*3900</f>
        <v>0</v>
      </c>
      <c r="J25" s="151" t="s">
        <v>370</v>
      </c>
      <c r="K25" s="163" t="s">
        <v>406</v>
      </c>
    </row>
    <row r="26" spans="1:11" ht="96" customHeight="1" x14ac:dyDescent="0.2">
      <c r="A26" s="151" t="s">
        <v>174</v>
      </c>
      <c r="B26" s="112" t="s">
        <v>407</v>
      </c>
      <c r="C26" s="157" t="s">
        <v>373</v>
      </c>
      <c r="D26" s="158" t="s">
        <v>408</v>
      </c>
      <c r="E26" s="159">
        <v>0</v>
      </c>
      <c r="F26" s="164">
        <v>0</v>
      </c>
      <c r="G26" s="161">
        <v>0</v>
      </c>
      <c r="H26" s="161">
        <f>E26/3900</f>
        <v>0</v>
      </c>
      <c r="I26" s="112">
        <f>H26*3900</f>
        <v>0</v>
      </c>
      <c r="J26" s="165" t="s">
        <v>370</v>
      </c>
      <c r="K26" s="163" t="s">
        <v>409</v>
      </c>
    </row>
    <row r="27" spans="1:11" ht="72" customHeight="1" x14ac:dyDescent="0.2">
      <c r="A27" s="151" t="s">
        <v>179</v>
      </c>
      <c r="B27" s="112" t="s">
        <v>410</v>
      </c>
      <c r="C27" s="157" t="s">
        <v>382</v>
      </c>
      <c r="D27" s="158" t="s">
        <v>411</v>
      </c>
      <c r="E27" s="159">
        <v>0</v>
      </c>
      <c r="F27" s="160">
        <v>0</v>
      </c>
      <c r="G27" s="161">
        <v>0</v>
      </c>
      <c r="H27" s="161">
        <f>E27/3900</f>
        <v>0</v>
      </c>
      <c r="I27" s="112">
        <f>H27*3900</f>
        <v>0</v>
      </c>
      <c r="J27" s="165" t="s">
        <v>370</v>
      </c>
      <c r="K27" s="163" t="s">
        <v>412</v>
      </c>
    </row>
    <row r="28" spans="1:11" ht="12.75" customHeight="1" x14ac:dyDescent="0.2"/>
    <row r="29" spans="1:11" ht="12.75" customHeight="1" x14ac:dyDescent="0.2"/>
    <row r="30" spans="1:11" ht="12.75" customHeight="1" x14ac:dyDescent="0.2"/>
    <row r="31" spans="1:11" ht="12.75" customHeight="1" x14ac:dyDescent="0.2"/>
    <row r="32" spans="1:11"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5">
    <mergeCell ref="A17:K17"/>
    <mergeCell ref="A11:K11"/>
    <mergeCell ref="C2:I2"/>
    <mergeCell ref="A5:K5"/>
    <mergeCell ref="A23:K23"/>
  </mergeCells>
  <hyperlinks>
    <hyperlink ref="C7" r:id="rId1" xr:uid="{00000000-0004-0000-1500-000000000000}"/>
    <hyperlink ref="C8" r:id="rId2" xr:uid="{00000000-0004-0000-1500-000001000000}"/>
    <hyperlink ref="C9" r:id="rId3" xr:uid="{00000000-0004-0000-1500-000002000000}"/>
    <hyperlink ref="C13" r:id="rId4" location="pricing" xr:uid="{00000000-0004-0000-1500-000003000000}"/>
    <hyperlink ref="C14" r:id="rId5" xr:uid="{00000000-0004-0000-1500-000004000000}"/>
    <hyperlink ref="C15" r:id="rId6" xr:uid="{00000000-0004-0000-1500-000005000000}"/>
    <hyperlink ref="C19" r:id="rId7" xr:uid="{00000000-0004-0000-1500-000006000000}"/>
    <hyperlink ref="C20" r:id="rId8" xr:uid="{00000000-0004-0000-1500-000007000000}"/>
    <hyperlink ref="C21" r:id="rId9" xr:uid="{00000000-0004-0000-1500-000008000000}"/>
    <hyperlink ref="C25" r:id="rId10" xr:uid="{00000000-0004-0000-1500-000009000000}"/>
    <hyperlink ref="C26" r:id="rId11" xr:uid="{00000000-0004-0000-1500-00000A000000}"/>
    <hyperlink ref="C27" r:id="rId12" xr:uid="{00000000-0004-0000-1500-00000B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Ficha Tecnica</vt:lpstr>
      <vt:lpstr>Argumentos</vt:lpstr>
      <vt:lpstr>Investigacion</vt:lpstr>
      <vt:lpstr>Torre admin</vt:lpstr>
      <vt:lpstr>Monitor Admin y nosotros</vt:lpstr>
      <vt:lpstr>DiscoSolido Admin</vt:lpstr>
      <vt:lpstr>Servidor Admin</vt:lpstr>
      <vt:lpstr>Disco duro interno Admin</vt:lpstr>
      <vt:lpstr>ram Admin</vt:lpstr>
      <vt:lpstr>Teclado Admin y nosotros</vt:lpstr>
      <vt:lpstr>Mouse Admin y nosotros</vt:lpstr>
      <vt:lpstr>Portatil Nosotros</vt:lpstr>
      <vt:lpstr> Disco mecanico Nosotros</vt:lpstr>
      <vt:lpstr> Servidor Nosotros</vt:lpstr>
      <vt:lpstr> ram nosotros</vt:lpstr>
      <vt:lpstr>Tarjeta de video nosotros</vt:lpstr>
      <vt:lpstr>Procesador Nosotros</vt:lpstr>
      <vt:lpstr>software licencia</vt:lpstr>
      <vt:lpstr>licencia visual</vt:lpstr>
      <vt:lpstr>windows 11 licencia</vt:lpstr>
      <vt:lpstr>licencia SQL</vt:lpstr>
      <vt:lpstr>Servicios Nube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Hp</cp:lastModifiedBy>
  <dcterms:created xsi:type="dcterms:W3CDTF">2010-11-08T17:12:00Z</dcterms:created>
  <dcterms:modified xsi:type="dcterms:W3CDTF">2026-09-13T22:47:23Z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